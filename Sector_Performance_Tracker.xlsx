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ctor Summary" sheetId="2" state="visible" r:id="rId4"/>
    <sheet name="Constituents" sheetId="3" state="visible" r:id="rId5"/>
    <sheet name="Drilldow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<sst xmlns="http://schemas.openxmlformats.org/spreadsheetml/2006/main" count="321" uniqueCount="181">
  <si>
    <t xml:space="preserve">NIFTY Sector Performance Tracker</t>
  </si>
  <si>
    <t xml:space="preserve">A live-recalculating workbook for tracking sector and stock performance across Daily / Weekly / Monthly timeframes.</t>
  </si>
  <si>
    <t xml:space="preserve">HOW THIS WORKBOOK STAYS "LIVE"</t>
  </si>
  <si>
    <t xml:space="preserve">This workbook does not have a broker/data API wired in yet, so it can't pull prices on its own.</t>
  </si>
  <si>
    <t xml:space="preserve">Instead, every calculation (percent change, ranks, best/worst, sector rollups) recalculates instantly</t>
  </si>
  <si>
    <t xml:space="preserve">the moment you paste in new numbers — so refreshing is just: paste prices, done.</t>
  </si>
  <si>
    <t xml:space="preserve">WHAT TO PASTE, AND WHERE</t>
  </si>
  <si>
    <t xml:space="preserve">1. 'Sector Summary' tab: paste each sector index's current level into the LTP column, as often as you like.</t>
  </si>
  <si>
    <t xml:space="preserve">2. 'Constituents' tab: paste each stock's current price into the LTP column, as often as you like.</t>
  </si>
  <si>
    <t xml:space="preserve">3. Once a day (or once a week/month), refresh the reference closes: 'Prev Close (D)' at the start of each</t>
  </si>
  <si>
    <t xml:space="preserve">   trading day, 'Prev Close (W)' at the start of each week, 'Prev Close (M)' at the start of each month.</t>
  </si>
  <si>
    <t xml:space="preserve">COLOR LEGEND</t>
  </si>
  <si>
    <t xml:space="preserve">Blue text = your input (paste here).      Black text = formula (do not overwrite).</t>
  </si>
  <si>
    <t xml:space="preserve">Green fill = today's top performers.      Red fill = today's underperformers.</t>
  </si>
  <si>
    <t xml:space="preserve">DRILL-DOWN WORKFLOW</t>
  </si>
  <si>
    <t xml:space="preserve">Go to the 'Drilldown' tab, pick a sector from the dropdown in cell B2, and the table below it</t>
  </si>
  <si>
    <t xml:space="preserve">instantly ranks that sector's constituents best-to-worst for whichever timeframe is active.</t>
  </si>
  <si>
    <t xml:space="preserve">TIMEFRAME SWITCH</t>
  </si>
  <si>
    <t xml:space="preserve">Cell B1 on 'Sector Summary' controls the active timeframe (Daily / Weekly / Monthly) for the WHOLE</t>
  </si>
  <si>
    <t xml:space="preserve">workbook — Constituents and Drilldown both read from it, so you only switch it in one place.</t>
  </si>
  <si>
    <t xml:space="preserve">WANT THIS FULLY AUTOMATED?</t>
  </si>
  <si>
    <t xml:space="preserve">Once you have a broker/data API (Kite Connect, Angel One SmartAPI, etc.) or even a paid market-data</t>
  </si>
  <si>
    <t xml:space="preserve">feed, the LTP columns here are exactly the cells a small script would write into on a timer — say the</t>
  </si>
  <si>
    <t xml:space="preserve">word and this can be wired up so the paste step goes away entirely.</t>
  </si>
  <si>
    <t xml:space="preserve">SAMPLE DATA</t>
  </si>
  <si>
    <t xml:space="preserve">'Sector Summary' is pre-filled with illustrative sample index levels for all 11 sectors, so ranking</t>
  </si>
  <si>
    <t xml:space="preserve">and Top/Bottom tags are already showing real differentiation. On 'Constituents', only the Bank sector</t>
  </si>
  <si>
    <t xml:space="preserve">has sample stock prices filled in — every other sector's cells are at 0 until you paste real numbers.</t>
  </si>
  <si>
    <t xml:space="preserve">Active Timeframe:</t>
  </si>
  <si>
    <t xml:space="preserve">Daily</t>
  </si>
  <si>
    <t xml:space="preserve">&lt;- choose the timeframe for the whole workbook</t>
  </si>
  <si>
    <t xml:space="preserve">Sector</t>
  </si>
  <si>
    <t xml:space="preserve">Index Symbol</t>
  </si>
  <si>
    <t xml:space="preserve">Prev Close (D)</t>
  </si>
  <si>
    <t xml:space="preserve">Prev Close (W)</t>
  </si>
  <si>
    <t xml:space="preserve">Prev Close (M)</t>
  </si>
  <si>
    <t xml:space="preserve">LTP</t>
  </si>
  <si>
    <t xml:space="preserve">% Chg (Active)</t>
  </si>
  <si>
    <t xml:space="preserve">Rank</t>
  </si>
  <si>
    <t xml:space="preserve">Tag</t>
  </si>
  <si>
    <t xml:space="preserve">Bank</t>
  </si>
  <si>
    <t xml:space="preserve">NIFTYBANK</t>
  </si>
  <si>
    <t xml:space="preserve">IT</t>
  </si>
  <si>
    <t xml:space="preserve">CNXIT</t>
  </si>
  <si>
    <t xml:space="preserve">Auto</t>
  </si>
  <si>
    <t xml:space="preserve">CNXAUTO</t>
  </si>
  <si>
    <t xml:space="preserve">Pharma</t>
  </si>
  <si>
    <t xml:space="preserve">CNXPHARMA</t>
  </si>
  <si>
    <t xml:space="preserve">FMCG</t>
  </si>
  <si>
    <t xml:space="preserve">CNXFMCG</t>
  </si>
  <si>
    <t xml:space="preserve">Metal</t>
  </si>
  <si>
    <t xml:space="preserve">CNXMETAL</t>
  </si>
  <si>
    <t xml:space="preserve">Energy</t>
  </si>
  <si>
    <t xml:space="preserve">CNXENERGY</t>
  </si>
  <si>
    <t xml:space="preserve">Realty</t>
  </si>
  <si>
    <t xml:space="preserve">CNXREALTY</t>
  </si>
  <si>
    <t xml:space="preserve">Media</t>
  </si>
  <si>
    <t xml:space="preserve">CNXMEDIA</t>
  </si>
  <si>
    <t xml:space="preserve">PSU Bank</t>
  </si>
  <si>
    <t xml:space="preserve">NIFTYPSUBANK</t>
  </si>
  <si>
    <t xml:space="preserve">Fin Service</t>
  </si>
  <si>
    <t xml:space="preserve">CNXFINANCE</t>
  </si>
  <si>
    <t xml:space="preserve">Symbol</t>
  </si>
  <si>
    <t xml:space="preserve">Rank in Sector</t>
  </si>
  <si>
    <t xml:space="preserve">Key</t>
  </si>
  <si>
    <t xml:space="preserve">HDFCBANK</t>
  </si>
  <si>
    <t xml:space="preserve">ICICIBANK</t>
  </si>
  <si>
    <t xml:space="preserve">SBIN</t>
  </si>
  <si>
    <t xml:space="preserve">KOTAKBANK</t>
  </si>
  <si>
    <t xml:space="preserve">AXISBANK</t>
  </si>
  <si>
    <t xml:space="preserve">INDUSINDBK</t>
  </si>
  <si>
    <t xml:space="preserve">BANKBARODA</t>
  </si>
  <si>
    <t xml:space="preserve">PNB</t>
  </si>
  <si>
    <t xml:space="preserve">IDFCFIRSTB</t>
  </si>
  <si>
    <t xml:space="preserve">AUBANK</t>
  </si>
  <si>
    <t xml:space="preserve">FEDERALBNK</t>
  </si>
  <si>
    <t xml:space="preserve">CANBK</t>
  </si>
  <si>
    <t xml:space="preserve">TCS</t>
  </si>
  <si>
    <t xml:space="preserve">INFY</t>
  </si>
  <si>
    <t xml:space="preserve">HCLTECH</t>
  </si>
  <si>
    <t xml:space="preserve">WIPRO</t>
  </si>
  <si>
    <t xml:space="preserve">TECHM</t>
  </si>
  <si>
    <t xml:space="preserve">LTIM</t>
  </si>
  <si>
    <t xml:space="preserve">PERSISTENT</t>
  </si>
  <si>
    <t xml:space="preserve">COFORGE</t>
  </si>
  <si>
    <t xml:space="preserve">MPHASIS</t>
  </si>
  <si>
    <t xml:space="preserve">LTTS</t>
  </si>
  <si>
    <t xml:space="preserve">MARUTI</t>
  </si>
  <si>
    <t xml:space="preserve">M&amp;M</t>
  </si>
  <si>
    <t xml:space="preserve">TATAMOTORS</t>
  </si>
  <si>
    <t xml:space="preserve">BAJAJ-AUTO</t>
  </si>
  <si>
    <t xml:space="preserve">EICHERMOT</t>
  </si>
  <si>
    <t xml:space="preserve">HEROMOTOCO</t>
  </si>
  <si>
    <t xml:space="preserve">TVSMOTOR</t>
  </si>
  <si>
    <t xml:space="preserve">ASHOKLEY</t>
  </si>
  <si>
    <t xml:space="preserve">BHARATFORG</t>
  </si>
  <si>
    <t xml:space="preserve">MRF</t>
  </si>
  <si>
    <t xml:space="preserve">BOSCHLTD</t>
  </si>
  <si>
    <t xml:space="preserve">BALKRISIND</t>
  </si>
  <si>
    <t xml:space="preserve">SUNPHARMA</t>
  </si>
  <si>
    <t xml:space="preserve">DRREDDY</t>
  </si>
  <si>
    <t xml:space="preserve">CIPLA</t>
  </si>
  <si>
    <t xml:space="preserve">DIVISLAB</t>
  </si>
  <si>
    <t xml:space="preserve">LUPIN</t>
  </si>
  <si>
    <t xml:space="preserve">AUROPHARMA</t>
  </si>
  <si>
    <t xml:space="preserve">TORNTPHARM</t>
  </si>
  <si>
    <t xml:space="preserve">ZYDUSLIFE</t>
  </si>
  <si>
    <t xml:space="preserve">ALKEM</t>
  </si>
  <si>
    <t xml:space="preserve">BIOCON</t>
  </si>
  <si>
    <t xml:space="preserve">GLENMARK</t>
  </si>
  <si>
    <t xml:space="preserve">LAURUSLABS</t>
  </si>
  <si>
    <t xml:space="preserve">HINDUNILVR</t>
  </si>
  <si>
    <t xml:space="preserve">ITC</t>
  </si>
  <si>
    <t xml:space="preserve">NESTLEIND</t>
  </si>
  <si>
    <t xml:space="preserve">BRITANNIA</t>
  </si>
  <si>
    <t xml:space="preserve">TATACONSUM</t>
  </si>
  <si>
    <t xml:space="preserve">DABUR</t>
  </si>
  <si>
    <t xml:space="preserve">GODREJCP</t>
  </si>
  <si>
    <t xml:space="preserve">MARICO</t>
  </si>
  <si>
    <t xml:space="preserve">COLPAL</t>
  </si>
  <si>
    <t xml:space="preserve">UBL</t>
  </si>
  <si>
    <t xml:space="preserve">VBL</t>
  </si>
  <si>
    <t xml:space="preserve">TATASTEEL</t>
  </si>
  <si>
    <t xml:space="preserve">JSWSTEEL</t>
  </si>
  <si>
    <t xml:space="preserve">HINDALCO</t>
  </si>
  <si>
    <t xml:space="preserve">VEDL</t>
  </si>
  <si>
    <t xml:space="preserve">JINDALSTEL</t>
  </si>
  <si>
    <t xml:space="preserve">SAIL</t>
  </si>
  <si>
    <t xml:space="preserve">NMDC</t>
  </si>
  <si>
    <t xml:space="preserve">HINDCOPPER</t>
  </si>
  <si>
    <t xml:space="preserve">NATIONALUM</t>
  </si>
  <si>
    <t xml:space="preserve">APLAPOLLO</t>
  </si>
  <si>
    <t xml:space="preserve">RELIANCE</t>
  </si>
  <si>
    <t xml:space="preserve">ONGC</t>
  </si>
  <si>
    <t xml:space="preserve">NTPC</t>
  </si>
  <si>
    <t xml:space="preserve">POWERGRID</t>
  </si>
  <si>
    <t xml:space="preserve">COALINDIA</t>
  </si>
  <si>
    <t xml:space="preserve">BPCL</t>
  </si>
  <si>
    <t xml:space="preserve">IOC</t>
  </si>
  <si>
    <t xml:space="preserve">GAIL</t>
  </si>
  <si>
    <t xml:space="preserve">TATAPOWER</t>
  </si>
  <si>
    <t xml:space="preserve">ADANIGREEN</t>
  </si>
  <si>
    <t xml:space="preserve">DLF</t>
  </si>
  <si>
    <t xml:space="preserve">GODREJPROP</t>
  </si>
  <si>
    <t xml:space="preserve">OBEROIRLTY</t>
  </si>
  <si>
    <t xml:space="preserve">PHOENIXLTD</t>
  </si>
  <si>
    <t xml:space="preserve">PRESTIGE</t>
  </si>
  <si>
    <t xml:space="preserve">LODHA</t>
  </si>
  <si>
    <t xml:space="preserve">BRIGADE</t>
  </si>
  <si>
    <t xml:space="preserve">SOBHA</t>
  </si>
  <si>
    <t xml:space="preserve">ZEEL</t>
  </si>
  <si>
    <t xml:space="preserve">SUNTV</t>
  </si>
  <si>
    <t xml:space="preserve">PVRINOX</t>
  </si>
  <si>
    <t xml:space="preserve">NETWORK18</t>
  </si>
  <si>
    <t xml:space="preserve">TV18BRDCST</t>
  </si>
  <si>
    <t xml:space="preserve">NAZARA</t>
  </si>
  <si>
    <t xml:space="preserve">SAREGAMA</t>
  </si>
  <si>
    <t xml:space="preserve">UNIONBANK</t>
  </si>
  <si>
    <t xml:space="preserve">INDIANB</t>
  </si>
  <si>
    <t xml:space="preserve">BANKINDIA</t>
  </si>
  <si>
    <t xml:space="preserve">IOB</t>
  </si>
  <si>
    <t xml:space="preserve">CENTRALBK</t>
  </si>
  <si>
    <t xml:space="preserve">UCOBANK</t>
  </si>
  <si>
    <t xml:space="preserve">MAHABANK</t>
  </si>
  <si>
    <t xml:space="preserve">BAJFINANCE</t>
  </si>
  <si>
    <t xml:space="preserve">BAJAJFINSV</t>
  </si>
  <si>
    <t xml:space="preserve">HDFCLIFE</t>
  </si>
  <si>
    <t xml:space="preserve">SBILIFE</t>
  </si>
  <si>
    <t xml:space="preserve">SHRIRAMFIN</t>
  </si>
  <si>
    <t xml:space="preserve">CHOLAFIN</t>
  </si>
  <si>
    <t xml:space="preserve">ICICIGI</t>
  </si>
  <si>
    <t xml:space="preserve">ICICIPRULI</t>
  </si>
  <si>
    <t xml:space="preserve">PFC</t>
  </si>
  <si>
    <t xml:space="preserve">RECLTD</t>
  </si>
  <si>
    <t xml:space="preserve">MUTHOOTFIN</t>
  </si>
  <si>
    <t xml:space="preserve">Select Sector:</t>
  </si>
  <si>
    <t xml:space="preserve">&lt;- pick a sector (dropdown)</t>
  </si>
  <si>
    <t xml:space="preserve">TotalMembers</t>
  </si>
  <si>
    <t xml:space="preserve">&lt;- set on 'Sector Summary' tab, shared everywhere</t>
  </si>
  <si>
    <t xml:space="preserve">Best performer:</t>
  </si>
  <si>
    <t xml:space="preserve">Worst performer: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</si>
</sst>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%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000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D9D9D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4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4" t="s">
        <v>20</v>
      </c>
    </row>
    <row r="28" customFormat="false" ht="15" hidden="false" customHeight="false" outlineLevel="0" collapsed="false">
      <c r="A28" s="3" t="s">
        <v>21</v>
      </c>
    </row>
    <row r="29" customFormat="false" ht="15" hidden="false" customHeight="false" outlineLevel="0" collapsed="false">
      <c r="A29" s="3" t="s">
        <v>22</v>
      </c>
    </row>
    <row r="30" customFormat="false" ht="15" hidden="false" customHeight="false" outlineLevel="0" collapsed="false">
      <c r="A30" s="3" t="s">
        <v>23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4" t="s">
        <v>24</v>
      </c>
    </row>
    <row r="33" customFormat="false" ht="15" hidden="false" customHeight="false" outlineLevel="0" collapsed="false">
      <c r="A33" s="3" t="s">
        <v>25</v>
      </c>
    </row>
    <row r="34" customFormat="false" ht="15" hidden="false" customHeight="false" outlineLevel="0" collapsed="false">
      <c r="A34" s="3" t="s">
        <v>26</v>
      </c>
    </row>
    <row r="35" customFormat="false" ht="15" hidden="false" customHeight="false" outlineLevel="0" collapsed="false">
      <c r="A35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4" t="s">
        <v>28</v>
      </c>
      <c r="B1" s="5" t="s">
        <v>29</v>
      </c>
      <c r="C1" s="2" t="s">
        <v>30</v>
      </c>
    </row>
    <row r="3" customFormat="false" ht="15" hidden="false" customHeight="false" outlineLevel="0" collapsed="false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</row>
    <row r="4" customFormat="false" ht="15" hidden="false" customHeight="false" outlineLevel="0" collapsed="false">
      <c r="A4" s="7" t="s">
        <v>40</v>
      </c>
      <c r="B4" s="7" t="s">
        <v>41</v>
      </c>
      <c r="C4" s="8" t="n">
        <v>52340</v>
      </c>
      <c r="D4" s="8" t="n">
        <v>51820</v>
      </c>
      <c r="E4" s="8" t="n">
        <v>50900</v>
      </c>
      <c r="F4" s="8" t="n">
        <v>52810</v>
      </c>
      <c r="G4" s="9" t="n">
        <f aca="false">IFERROR(IF($B$1="Daily",F4/C4-1,IF($B$1="Weekly",F4/D4-1,F4/E4-1)),"")</f>
        <v>0.00897974780282773</v>
      </c>
      <c r="H4" s="10" t="n">
        <f aca="false">IFERROR(SUMPRODUCT(($G$4:$G$14&gt;G4)*1)+1,"")</f>
        <v>5</v>
      </c>
      <c r="I4" s="10" t="str">
        <f aca="false">IF(H4=1,"Top",IF(H4=11,"Bottom",""))</f>
        <v/>
      </c>
    </row>
    <row r="5" customFormat="false" ht="15" hidden="false" customHeight="false" outlineLevel="0" collapsed="false">
      <c r="A5" s="7" t="s">
        <v>42</v>
      </c>
      <c r="B5" s="7" t="s">
        <v>43</v>
      </c>
      <c r="C5" s="8" t="n">
        <v>38420</v>
      </c>
      <c r="D5" s="8" t="n">
        <v>38900</v>
      </c>
      <c r="E5" s="8" t="n">
        <v>39750</v>
      </c>
      <c r="F5" s="8" t="n">
        <v>38050</v>
      </c>
      <c r="G5" s="9" t="n">
        <f aca="false">IFERROR(IF($B$1="Daily",F5/C5-1,IF($B$1="Weekly",F5/D5-1,F5/E5-1)),"")</f>
        <v>-0.00963040083289957</v>
      </c>
      <c r="H5" s="10" t="n">
        <f aca="false">IFERROR(SUMPRODUCT(($G$4:$G$14&gt;G5)*1)+1,"")</f>
        <v>10</v>
      </c>
      <c r="I5" s="10" t="str">
        <f aca="false">IF(H5=1,"Top",IF(H5=11,"Bottom",""))</f>
        <v/>
      </c>
    </row>
    <row r="6" customFormat="false" ht="15" hidden="false" customHeight="false" outlineLevel="0" collapsed="false">
      <c r="A6" s="7" t="s">
        <v>44</v>
      </c>
      <c r="B6" s="7" t="s">
        <v>45</v>
      </c>
      <c r="C6" s="8" t="n">
        <v>24680</v>
      </c>
      <c r="D6" s="8" t="n">
        <v>24310</v>
      </c>
      <c r="E6" s="8" t="n">
        <v>23890</v>
      </c>
      <c r="F6" s="8" t="n">
        <v>24990</v>
      </c>
      <c r="G6" s="9" t="n">
        <f aca="false">IFERROR(IF($B$1="Daily",F6/C6-1,IF($B$1="Weekly",F6/D6-1,F6/E6-1)),"")</f>
        <v>0.0125607779578607</v>
      </c>
      <c r="H6" s="10" t="n">
        <f aca="false">IFERROR(SUMPRODUCT(($G$4:$G$14&gt;G6)*1)+1,"")</f>
        <v>1</v>
      </c>
      <c r="I6" s="10" t="str">
        <f aca="false">IF(H6=1,"Top",IF(H6=11,"Bottom",""))</f>
        <v>Top</v>
      </c>
    </row>
    <row r="7" customFormat="false" ht="15" hidden="false" customHeight="false" outlineLevel="0" collapsed="false">
      <c r="A7" s="7" t="s">
        <v>46</v>
      </c>
      <c r="B7" s="7" t="s">
        <v>47</v>
      </c>
      <c r="C7" s="8" t="n">
        <v>21540</v>
      </c>
      <c r="D7" s="8" t="n">
        <v>21200</v>
      </c>
      <c r="E7" s="8" t="n">
        <v>20680</v>
      </c>
      <c r="F7" s="8" t="n">
        <v>21790</v>
      </c>
      <c r="G7" s="9" t="n">
        <f aca="false">IFERROR(IF($B$1="Daily",F7/C7-1,IF($B$1="Weekly",F7/D7-1,F7/E7-1)),"")</f>
        <v>0.011606313834726</v>
      </c>
      <c r="H7" s="10" t="n">
        <f aca="false">IFERROR(SUMPRODUCT(($G$4:$G$14&gt;G7)*1)+1,"")</f>
        <v>2</v>
      </c>
      <c r="I7" s="10" t="str">
        <f aca="false">IF(H7=1,"Top",IF(H7=11,"Bottom",""))</f>
        <v/>
      </c>
    </row>
    <row r="8" customFormat="false" ht="15" hidden="false" customHeight="false" outlineLevel="0" collapsed="false">
      <c r="A8" s="7" t="s">
        <v>48</v>
      </c>
      <c r="B8" s="7" t="s">
        <v>49</v>
      </c>
      <c r="C8" s="8" t="n">
        <v>58900</v>
      </c>
      <c r="D8" s="8" t="n">
        <v>58600</v>
      </c>
      <c r="E8" s="8" t="n">
        <v>58100</v>
      </c>
      <c r="F8" s="8" t="n">
        <v>58750</v>
      </c>
      <c r="G8" s="9" t="n">
        <f aca="false">IFERROR(IF($B$1="Daily",F8/C8-1,IF($B$1="Weekly",F8/D8-1,F8/E8-1)),"")</f>
        <v>-0.00254668930390489</v>
      </c>
      <c r="H8" s="10" t="n">
        <f aca="false">IFERROR(SUMPRODUCT(($G$4:$G$14&gt;G8)*1)+1,"")</f>
        <v>8</v>
      </c>
      <c r="I8" s="10" t="str">
        <f aca="false">IF(H8=1,"Top",IF(H8=11,"Bottom",""))</f>
        <v/>
      </c>
    </row>
    <row r="9" customFormat="false" ht="15" hidden="false" customHeight="false" outlineLevel="0" collapsed="false">
      <c r="A9" s="7" t="s">
        <v>50</v>
      </c>
      <c r="B9" s="7" t="s">
        <v>51</v>
      </c>
      <c r="C9" s="8" t="n">
        <v>9820</v>
      </c>
      <c r="D9" s="8" t="n">
        <v>9640</v>
      </c>
      <c r="E9" s="8" t="n">
        <v>9410</v>
      </c>
      <c r="F9" s="8" t="n">
        <v>9905</v>
      </c>
      <c r="G9" s="9" t="n">
        <f aca="false">IFERROR(IF($B$1="Daily",F9/C9-1,IF($B$1="Weekly",F9/D9-1,F9/E9-1)),"")</f>
        <v>0.00865580448065173</v>
      </c>
      <c r="H9" s="10" t="n">
        <f aca="false">IFERROR(SUMPRODUCT(($G$4:$G$14&gt;G9)*1)+1,"")</f>
        <v>6</v>
      </c>
      <c r="I9" s="10" t="str">
        <f aca="false">IF(H9=1,"Top",IF(H9=11,"Bottom",""))</f>
        <v/>
      </c>
    </row>
    <row r="10" customFormat="false" ht="15" hidden="false" customHeight="false" outlineLevel="0" collapsed="false">
      <c r="A10" s="7" t="s">
        <v>52</v>
      </c>
      <c r="B10" s="7" t="s">
        <v>53</v>
      </c>
      <c r="C10" s="8" t="n">
        <v>43210</v>
      </c>
      <c r="D10" s="8" t="n">
        <v>42980</v>
      </c>
      <c r="E10" s="8" t="n">
        <v>42500</v>
      </c>
      <c r="F10" s="8" t="n">
        <v>43080</v>
      </c>
      <c r="G10" s="9" t="n">
        <f aca="false">IFERROR(IF($B$1="Daily",F10/C10-1,IF($B$1="Weekly",F10/D10-1,F10/E10-1)),"")</f>
        <v>-0.00300856283267759</v>
      </c>
      <c r="H10" s="10" t="n">
        <f aca="false">IFERROR(SUMPRODUCT(($G$4:$G$14&gt;G10)*1)+1,"")</f>
        <v>9</v>
      </c>
      <c r="I10" s="10" t="str">
        <f aca="false">IF(H10=1,"Top",IF(H10=11,"Bottom",""))</f>
        <v/>
      </c>
    </row>
    <row r="11" customFormat="false" ht="15" hidden="false" customHeight="false" outlineLevel="0" collapsed="false">
      <c r="A11" s="7" t="s">
        <v>54</v>
      </c>
      <c r="B11" s="7" t="s">
        <v>55</v>
      </c>
      <c r="C11" s="8" t="n">
        <v>1120</v>
      </c>
      <c r="D11" s="8" t="n">
        <v>1095</v>
      </c>
      <c r="E11" s="8" t="n">
        <v>1060</v>
      </c>
      <c r="F11" s="8" t="n">
        <v>1132</v>
      </c>
      <c r="G11" s="9" t="n">
        <f aca="false">IFERROR(IF($B$1="Daily",F11/C11-1,IF($B$1="Weekly",F11/D11-1,F11/E11-1)),"")</f>
        <v>0.0107142857142857</v>
      </c>
      <c r="H11" s="10" t="n">
        <f aca="false">IFERROR(SUMPRODUCT(($G$4:$G$14&gt;G11)*1)+1,"")</f>
        <v>3</v>
      </c>
      <c r="I11" s="10" t="str">
        <f aca="false">IF(H11=1,"Top",IF(H11=11,"Bottom",""))</f>
        <v/>
      </c>
    </row>
    <row r="12" customFormat="false" ht="15" hidden="false" customHeight="false" outlineLevel="0" collapsed="false">
      <c r="A12" s="7" t="s">
        <v>56</v>
      </c>
      <c r="B12" s="7" t="s">
        <v>57</v>
      </c>
      <c r="C12" s="8" t="n">
        <v>1780</v>
      </c>
      <c r="D12" s="8" t="n">
        <v>1820</v>
      </c>
      <c r="E12" s="8" t="n">
        <v>1890</v>
      </c>
      <c r="F12" s="8" t="n">
        <v>1755</v>
      </c>
      <c r="G12" s="9" t="n">
        <f aca="false">IFERROR(IF($B$1="Daily",F12/C12-1,IF($B$1="Weekly",F12/D12-1,F12/E12-1)),"")</f>
        <v>-0.0140449438202247</v>
      </c>
      <c r="H12" s="10" t="n">
        <f aca="false">IFERROR(SUMPRODUCT(($G$4:$G$14&gt;G12)*1)+1,"")</f>
        <v>11</v>
      </c>
      <c r="I12" s="10" t="str">
        <f aca="false">IF(H12=1,"Top",IF(H12=11,"Bottom",""))</f>
        <v>Bottom</v>
      </c>
    </row>
    <row r="13" customFormat="false" ht="15" hidden="false" customHeight="false" outlineLevel="0" collapsed="false">
      <c r="A13" s="7" t="s">
        <v>58</v>
      </c>
      <c r="B13" s="7" t="s">
        <v>59</v>
      </c>
      <c r="C13" s="8" t="n">
        <v>7120</v>
      </c>
      <c r="D13" s="8" t="n">
        <v>6980</v>
      </c>
      <c r="E13" s="8" t="n">
        <v>6810</v>
      </c>
      <c r="F13" s="8" t="n">
        <v>7195</v>
      </c>
      <c r="G13" s="9" t="n">
        <f aca="false">IFERROR(IF($B$1="Daily",F13/C13-1,IF($B$1="Weekly",F13/D13-1,F13/E13-1)),"")</f>
        <v>0.0105337078651686</v>
      </c>
      <c r="H13" s="10" t="n">
        <f aca="false">IFERROR(SUMPRODUCT(($G$4:$G$14&gt;G13)*1)+1,"")</f>
        <v>4</v>
      </c>
      <c r="I13" s="10" t="str">
        <f aca="false">IF(H13=1,"Top",IF(H13=11,"Bottom",""))</f>
        <v/>
      </c>
    </row>
    <row r="14" customFormat="false" ht="15" hidden="false" customHeight="false" outlineLevel="0" collapsed="false">
      <c r="A14" s="7" t="s">
        <v>60</v>
      </c>
      <c r="B14" s="7" t="s">
        <v>61</v>
      </c>
      <c r="C14" s="8" t="n">
        <v>23980</v>
      </c>
      <c r="D14" s="8" t="n">
        <v>23750</v>
      </c>
      <c r="E14" s="8" t="n">
        <v>23300</v>
      </c>
      <c r="F14" s="8" t="n">
        <v>24140</v>
      </c>
      <c r="G14" s="9" t="n">
        <f aca="false">IFERROR(IF($B$1="Daily",F14/C14-1,IF($B$1="Weekly",F14/D14-1,F14/E14-1)),"")</f>
        <v>0.00667222685571312</v>
      </c>
      <c r="H14" s="10" t="n">
        <f aca="false">IFERROR(SUMPRODUCT(($G$4:$G$14&gt;G14)*1)+1,"")</f>
        <v>7</v>
      </c>
      <c r="I14" s="10" t="str">
        <f aca="false">IF(H14=1,"Top",IF(H14=11,"Bottom",""))</f>
        <v/>
      </c>
    </row>
  </sheetData>
  <conditionalFormatting sqref="G4:G14">
    <cfRule type="colorScale" priority="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:I14">
    <cfRule type="expression" priority="3" aboveAverage="0" equalAverage="0" bottom="0" percent="0" rank="0" text="" dxfId="0">
      <formula>$I4="Top"</formula>
    </cfRule>
    <cfRule type="expression" priority="4" aboveAverage="0" equalAverage="0" bottom="0" percent="0" rank="0" text="" dxfId="1">
      <formula>$I4="Bottom"</formula>
    </cfRule>
  </conditionalFormatting>
  <dataValidations count="1">
    <dataValidation allowBlank="false" errorStyle="stop" operator="between" showDropDown="false" showErrorMessage="false" showInputMessage="false" sqref="B1" type="list">
      <formula1>"Daily,Weekly,Monthly"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23.85" hidden="false" customHeight="false" outlineLevel="0" collapsed="false">
      <c r="A1" s="6" t="s">
        <v>31</v>
      </c>
      <c r="B1" s="6" t="s">
        <v>62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63</v>
      </c>
      <c r="I1" s="6" t="s">
        <v>64</v>
      </c>
    </row>
    <row r="2" customFormat="false" ht="15" hidden="false" customHeight="false" outlineLevel="0" collapsed="false">
      <c r="A2" s="7" t="s">
        <v>40</v>
      </c>
      <c r="B2" s="7" t="s">
        <v>65</v>
      </c>
      <c r="C2" s="8" t="n">
        <v>1648.2</v>
      </c>
      <c r="D2" s="8" t="n">
        <v>1631.5</v>
      </c>
      <c r="E2" s="8" t="n">
        <v>1602</v>
      </c>
      <c r="F2" s="8" t="n">
        <v>1657.85</v>
      </c>
      <c r="G2" s="9" t="n">
        <f aca="false">IFERROR(IF('Sector Summary'!$B$1="Daily",F2/C2-1,IF('Sector Summary'!$B$1="Weekly",F2/D2-1,F2/E2-1)),"")</f>
        <v>0.00585487198155565</v>
      </c>
      <c r="H2" s="10" t="n">
        <f aca="false">IFERROR(SUMPRODUCT(($A$2:$A$13=A2)*($G$2:$G$13&gt;G2))+1,"")</f>
        <v>10</v>
      </c>
      <c r="I2" s="10" t="str">
        <f aca="false">A2&amp;"|"&amp;H2</f>
        <v>Bank|10</v>
      </c>
    </row>
    <row r="3" customFormat="false" ht="15" hidden="false" customHeight="false" outlineLevel="0" collapsed="false">
      <c r="A3" s="7" t="s">
        <v>40</v>
      </c>
      <c r="B3" s="7" t="s">
        <v>66</v>
      </c>
      <c r="C3" s="8" t="n">
        <v>1211.4</v>
      </c>
      <c r="D3" s="8" t="n">
        <v>1198.75</v>
      </c>
      <c r="E3" s="8" t="n">
        <v>1175.3</v>
      </c>
      <c r="F3" s="8" t="n">
        <v>1223.6</v>
      </c>
      <c r="G3" s="9" t="n">
        <f aca="false">IFERROR(IF('Sector Summary'!$B$1="Daily",F3/C3-1,IF('Sector Summary'!$B$1="Weekly",F3/D3-1,F3/E3-1)),"")</f>
        <v>0.0100709922403828</v>
      </c>
      <c r="H3" s="10" t="n">
        <f aca="false">IFERROR(SUMPRODUCT(($A$2:$A$13=A3)*($G$2:$G$13&gt;G3))+1,"")</f>
        <v>7</v>
      </c>
      <c r="I3" s="10" t="str">
        <f aca="false">A3&amp;"|"&amp;H3</f>
        <v>Bank|7</v>
      </c>
    </row>
    <row r="4" customFormat="false" ht="15" hidden="false" customHeight="false" outlineLevel="0" collapsed="false">
      <c r="A4" s="7" t="s">
        <v>40</v>
      </c>
      <c r="B4" s="7" t="s">
        <v>67</v>
      </c>
      <c r="C4" s="8" t="n">
        <v>818.35</v>
      </c>
      <c r="D4" s="8" t="n">
        <v>805.1</v>
      </c>
      <c r="E4" s="8" t="n">
        <v>792.6</v>
      </c>
      <c r="F4" s="8" t="n">
        <v>826.9</v>
      </c>
      <c r="G4" s="9" t="n">
        <f aca="false">IFERROR(IF('Sector Summary'!$B$1="Daily",F4/C4-1,IF('Sector Summary'!$B$1="Weekly",F4/D4-1,F4/E4-1)),"")</f>
        <v>0.0104478523858984</v>
      </c>
      <c r="H4" s="10" t="n">
        <f aca="false">IFERROR(SUMPRODUCT(($A$2:$A$13=A4)*($G$2:$G$13&gt;G4))+1,"")</f>
        <v>6</v>
      </c>
      <c r="I4" s="10" t="str">
        <f aca="false">A4&amp;"|"&amp;H4</f>
        <v>Bank|6</v>
      </c>
    </row>
    <row r="5" customFormat="false" ht="15" hidden="false" customHeight="false" outlineLevel="0" collapsed="false">
      <c r="A5" s="7" t="s">
        <v>40</v>
      </c>
      <c r="B5" s="7" t="s">
        <v>68</v>
      </c>
      <c r="C5" s="8" t="n">
        <v>1789.6</v>
      </c>
      <c r="D5" s="8" t="n">
        <v>1802.4</v>
      </c>
      <c r="E5" s="8" t="n">
        <v>1755.9</v>
      </c>
      <c r="F5" s="8" t="n">
        <v>1771.25</v>
      </c>
      <c r="G5" s="9" t="n">
        <f aca="false">IFERROR(IF('Sector Summary'!$B$1="Daily",F5/C5-1,IF('Sector Summary'!$B$1="Weekly",F5/D5-1,F5/E5-1)),"")</f>
        <v>-0.0102536879749664</v>
      </c>
      <c r="H5" s="10" t="n">
        <f aca="false">IFERROR(SUMPRODUCT(($A$2:$A$13=A5)*($G$2:$G$13&gt;G5))+1,"")</f>
        <v>11</v>
      </c>
      <c r="I5" s="10" t="str">
        <f aca="false">A5&amp;"|"&amp;H5</f>
        <v>Bank|11</v>
      </c>
    </row>
    <row r="6" customFormat="false" ht="15" hidden="false" customHeight="false" outlineLevel="0" collapsed="false">
      <c r="A6" s="7" t="s">
        <v>40</v>
      </c>
      <c r="B6" s="7" t="s">
        <v>69</v>
      </c>
      <c r="C6" s="8" t="n">
        <v>1152.8</v>
      </c>
      <c r="D6" s="8" t="n">
        <v>1140.2</v>
      </c>
      <c r="E6" s="8" t="n">
        <v>1121.4</v>
      </c>
      <c r="F6" s="8" t="n">
        <v>1163.55</v>
      </c>
      <c r="G6" s="9" t="n">
        <f aca="false">IFERROR(IF('Sector Summary'!$B$1="Daily",F6/C6-1,IF('Sector Summary'!$B$1="Weekly",F6/D6-1,F6/E6-1)),"")</f>
        <v>0.009325121443442</v>
      </c>
      <c r="H6" s="10" t="n">
        <f aca="false">IFERROR(SUMPRODUCT(($A$2:$A$13=A6)*($G$2:$G$13&gt;G6))+1,"")</f>
        <v>9</v>
      </c>
      <c r="I6" s="10" t="str">
        <f aca="false">A6&amp;"|"&amp;H6</f>
        <v>Bank|9</v>
      </c>
    </row>
    <row r="7" customFormat="false" ht="15" hidden="false" customHeight="false" outlineLevel="0" collapsed="false">
      <c r="A7" s="7" t="s">
        <v>40</v>
      </c>
      <c r="B7" s="7" t="s">
        <v>70</v>
      </c>
      <c r="C7" s="8" t="n">
        <v>1012.4</v>
      </c>
      <c r="D7" s="8" t="n">
        <v>1035.6</v>
      </c>
      <c r="E7" s="8" t="n">
        <v>1078.2</v>
      </c>
      <c r="F7" s="8" t="n">
        <v>998.1</v>
      </c>
      <c r="G7" s="9" t="n">
        <f aca="false">IFERROR(IF('Sector Summary'!$B$1="Daily",F7/C7-1,IF('Sector Summary'!$B$1="Weekly",F7/D7-1,F7/E7-1)),"")</f>
        <v>-0.0141248518372185</v>
      </c>
      <c r="H7" s="10" t="n">
        <f aca="false">IFERROR(SUMPRODUCT(($A$2:$A$13=A7)*($G$2:$G$13&gt;G7))+1,"")</f>
        <v>12</v>
      </c>
      <c r="I7" s="10" t="str">
        <f aca="false">A7&amp;"|"&amp;H7</f>
        <v>Bank|12</v>
      </c>
    </row>
    <row r="8" customFormat="false" ht="15" hidden="false" customHeight="false" outlineLevel="0" collapsed="false">
      <c r="A8" s="7" t="s">
        <v>40</v>
      </c>
      <c r="B8" s="7" t="s">
        <v>71</v>
      </c>
      <c r="C8" s="8" t="n">
        <v>238.15</v>
      </c>
      <c r="D8" s="8" t="n">
        <v>234.8</v>
      </c>
      <c r="E8" s="8" t="n">
        <v>229.4</v>
      </c>
      <c r="F8" s="8" t="n">
        <v>240.9</v>
      </c>
      <c r="G8" s="9" t="n">
        <f aca="false">IFERROR(IF('Sector Summary'!$B$1="Daily",F8/C8-1,IF('Sector Summary'!$B$1="Weekly",F8/D8-1,F8/E8-1)),"")</f>
        <v>0.0115473441108545</v>
      </c>
      <c r="H8" s="10" t="n">
        <f aca="false">IFERROR(SUMPRODUCT(($A$2:$A$13=A8)*($G$2:$G$13&gt;G8))+1,"")</f>
        <v>5</v>
      </c>
      <c r="I8" s="10" t="str">
        <f aca="false">A8&amp;"|"&amp;H8</f>
        <v>Bank|5</v>
      </c>
    </row>
    <row r="9" customFormat="false" ht="15" hidden="false" customHeight="false" outlineLevel="0" collapsed="false">
      <c r="A9" s="7" t="s">
        <v>40</v>
      </c>
      <c r="B9" s="7" t="s">
        <v>72</v>
      </c>
      <c r="C9" s="8" t="n">
        <v>102.35</v>
      </c>
      <c r="D9" s="8" t="n">
        <v>100.9</v>
      </c>
      <c r="E9" s="8" t="n">
        <v>98.6</v>
      </c>
      <c r="F9" s="8" t="n">
        <v>103.75</v>
      </c>
      <c r="G9" s="9" t="n">
        <f aca="false">IFERROR(IF('Sector Summary'!$B$1="Daily",F9/C9-1,IF('Sector Summary'!$B$1="Weekly",F9/D9-1,F9/E9-1)),"")</f>
        <v>0.0136785539814364</v>
      </c>
      <c r="H9" s="10" t="n">
        <f aca="false">IFERROR(SUMPRODUCT(($A$2:$A$13=A9)*($G$2:$G$13&gt;G9))+1,"")</f>
        <v>1</v>
      </c>
      <c r="I9" s="10" t="str">
        <f aca="false">A9&amp;"|"&amp;H9</f>
        <v>Bank|1</v>
      </c>
    </row>
    <row r="10" customFormat="false" ht="15" hidden="false" customHeight="false" outlineLevel="0" collapsed="false">
      <c r="A10" s="7" t="s">
        <v>40</v>
      </c>
      <c r="B10" s="7" t="s">
        <v>73</v>
      </c>
      <c r="C10" s="8" t="n">
        <v>72.4</v>
      </c>
      <c r="D10" s="8" t="n">
        <v>71.2</v>
      </c>
      <c r="E10" s="8" t="n">
        <v>69.8</v>
      </c>
      <c r="F10" s="8" t="n">
        <v>73.1</v>
      </c>
      <c r="G10" s="9" t="n">
        <f aca="false">IFERROR(IF('Sector Summary'!$B$1="Daily",F10/C10-1,IF('Sector Summary'!$B$1="Weekly",F10/D10-1,F10/E10-1)),"")</f>
        <v>0.00966850828729271</v>
      </c>
      <c r="H10" s="10" t="n">
        <f aca="false">IFERROR(SUMPRODUCT(($A$2:$A$13=A10)*($G$2:$G$13&gt;G10))+1,"")</f>
        <v>8</v>
      </c>
      <c r="I10" s="10" t="str">
        <f aca="false">A10&amp;"|"&amp;H10</f>
        <v>Bank|8</v>
      </c>
    </row>
    <row r="11" customFormat="false" ht="15" hidden="false" customHeight="false" outlineLevel="0" collapsed="false">
      <c r="A11" s="7" t="s">
        <v>40</v>
      </c>
      <c r="B11" s="7" t="s">
        <v>74</v>
      </c>
      <c r="C11" s="8" t="n">
        <v>642.5</v>
      </c>
      <c r="D11" s="8" t="n">
        <v>635.1</v>
      </c>
      <c r="E11" s="8" t="n">
        <v>621.3</v>
      </c>
      <c r="F11" s="8" t="n">
        <v>651.2</v>
      </c>
      <c r="G11" s="9" t="n">
        <f aca="false">IFERROR(IF('Sector Summary'!$B$1="Daily",F11/C11-1,IF('Sector Summary'!$B$1="Weekly",F11/D11-1,F11/E11-1)),"")</f>
        <v>0.0135408560311285</v>
      </c>
      <c r="H11" s="10" t="n">
        <f aca="false">IFERROR(SUMPRODUCT(($A$2:$A$13=A11)*($G$2:$G$13&gt;G11))+1,"")</f>
        <v>2</v>
      </c>
      <c r="I11" s="10" t="str">
        <f aca="false">A11&amp;"|"&amp;H11</f>
        <v>Bank|2</v>
      </c>
    </row>
    <row r="12" customFormat="false" ht="15" hidden="false" customHeight="false" outlineLevel="0" collapsed="false">
      <c r="A12" s="7" t="s">
        <v>40</v>
      </c>
      <c r="B12" s="7" t="s">
        <v>75</v>
      </c>
      <c r="C12" s="8" t="n">
        <v>196.7</v>
      </c>
      <c r="D12" s="8" t="n">
        <v>193.4</v>
      </c>
      <c r="E12" s="8" t="n">
        <v>189.1</v>
      </c>
      <c r="F12" s="8" t="n">
        <v>199.3</v>
      </c>
      <c r="G12" s="9" t="n">
        <f aca="false">IFERROR(IF('Sector Summary'!$B$1="Daily",F12/C12-1,IF('Sector Summary'!$B$1="Weekly",F12/D12-1,F12/E12-1)),"")</f>
        <v>0.0132180986273513</v>
      </c>
      <c r="H12" s="10" t="n">
        <f aca="false">IFERROR(SUMPRODUCT(($A$2:$A$13=A12)*($G$2:$G$13&gt;G12))+1,"")</f>
        <v>3</v>
      </c>
      <c r="I12" s="10" t="str">
        <f aca="false">A12&amp;"|"&amp;H12</f>
        <v>Bank|3</v>
      </c>
    </row>
    <row r="13" customFormat="false" ht="15" hidden="false" customHeight="false" outlineLevel="0" collapsed="false">
      <c r="A13" s="7" t="s">
        <v>40</v>
      </c>
      <c r="B13" s="7" t="s">
        <v>76</v>
      </c>
      <c r="C13" s="8" t="n">
        <v>98.6</v>
      </c>
      <c r="D13" s="8" t="n">
        <v>96.8</v>
      </c>
      <c r="E13" s="8" t="n">
        <v>94.2</v>
      </c>
      <c r="F13" s="8" t="n">
        <v>99.9</v>
      </c>
      <c r="G13" s="9" t="n">
        <f aca="false">IFERROR(IF('Sector Summary'!$B$1="Daily",F13/C13-1,IF('Sector Summary'!$B$1="Weekly",F13/D13-1,F13/E13-1)),"")</f>
        <v>0.013184584178499</v>
      </c>
      <c r="H13" s="10" t="n">
        <f aca="false">IFERROR(SUMPRODUCT(($A$2:$A$13=A13)*($G$2:$G$13&gt;G13))+1,"")</f>
        <v>4</v>
      </c>
      <c r="I13" s="10" t="str">
        <f aca="false">A13&amp;"|"&amp;H13</f>
        <v>Bank|4</v>
      </c>
    </row>
    <row r="14" customFormat="false" ht="15" hidden="false" customHeight="false" outlineLevel="0" collapsed="false">
      <c r="A14" s="11" t="s">
        <v>42</v>
      </c>
      <c r="B14" s="11" t="s">
        <v>77</v>
      </c>
      <c r="C14" s="12" t="n">
        <v>0</v>
      </c>
      <c r="D14" s="12" t="n">
        <v>0</v>
      </c>
      <c r="E14" s="12" t="n">
        <v>0</v>
      </c>
      <c r="F14" s="12" t="n">
        <v>0</v>
      </c>
      <c r="G14" s="13" t="str">
        <f aca="false">IFERROR(IF('Sector Summary'!$B$1="Daily",F14/C14-1,IF('Sector Summary'!$B$1="Weekly",F14/D14-1,F14/E14-1)),"")</f>
        <v/>
      </c>
      <c r="H14" s="14" t="n">
        <f aca="false">IFERROR(SUMPRODUCT(($A$14:$A$23=A14)*($G$14:$G$23&gt;G14))+1,"")</f>
        <v>1</v>
      </c>
      <c r="I14" s="14" t="str">
        <f aca="false">A14&amp;"|"&amp;H14</f>
        <v>IT|1</v>
      </c>
    </row>
    <row r="15" customFormat="false" ht="15" hidden="false" customHeight="false" outlineLevel="0" collapsed="false">
      <c r="A15" s="11" t="s">
        <v>42</v>
      </c>
      <c r="B15" s="11" t="s">
        <v>78</v>
      </c>
      <c r="C15" s="12" t="n">
        <v>0</v>
      </c>
      <c r="D15" s="12" t="n">
        <v>0</v>
      </c>
      <c r="E15" s="12" t="n">
        <v>0</v>
      </c>
      <c r="F15" s="12" t="n">
        <v>0</v>
      </c>
      <c r="G15" s="13" t="str">
        <f aca="false">IFERROR(IF('Sector Summary'!$B$1="Daily",F15/C15-1,IF('Sector Summary'!$B$1="Weekly",F15/D15-1,F15/E15-1)),"")</f>
        <v/>
      </c>
      <c r="H15" s="14" t="n">
        <f aca="false">IFERROR(SUMPRODUCT(($A$14:$A$23=A15)*($G$14:$G$23&gt;G15))+1,"")</f>
        <v>1</v>
      </c>
      <c r="I15" s="14" t="str">
        <f aca="false">A15&amp;"|"&amp;H15</f>
        <v>IT|1</v>
      </c>
    </row>
    <row r="16" customFormat="false" ht="15" hidden="false" customHeight="false" outlineLevel="0" collapsed="false">
      <c r="A16" s="11" t="s">
        <v>42</v>
      </c>
      <c r="B16" s="11" t="s">
        <v>79</v>
      </c>
      <c r="C16" s="12" t="n">
        <v>0</v>
      </c>
      <c r="D16" s="12" t="n">
        <v>0</v>
      </c>
      <c r="E16" s="12" t="n">
        <v>0</v>
      </c>
      <c r="F16" s="12" t="n">
        <v>0</v>
      </c>
      <c r="G16" s="13" t="str">
        <f aca="false">IFERROR(IF('Sector Summary'!$B$1="Daily",F16/C16-1,IF('Sector Summary'!$B$1="Weekly",F16/D16-1,F16/E16-1)),"")</f>
        <v/>
      </c>
      <c r="H16" s="14" t="n">
        <f aca="false">IFERROR(SUMPRODUCT(($A$14:$A$23=A16)*($G$14:$G$23&gt;G16))+1,"")</f>
        <v>1</v>
      </c>
      <c r="I16" s="14" t="str">
        <f aca="false">A16&amp;"|"&amp;H16</f>
        <v>IT|1</v>
      </c>
    </row>
    <row r="17" customFormat="false" ht="15" hidden="false" customHeight="false" outlineLevel="0" collapsed="false">
      <c r="A17" s="11" t="s">
        <v>42</v>
      </c>
      <c r="B17" s="11" t="s">
        <v>80</v>
      </c>
      <c r="C17" s="12" t="n">
        <v>0</v>
      </c>
      <c r="D17" s="12" t="n">
        <v>0</v>
      </c>
      <c r="E17" s="12" t="n">
        <v>0</v>
      </c>
      <c r="F17" s="12" t="n">
        <v>0</v>
      </c>
      <c r="G17" s="13" t="str">
        <f aca="false">IFERROR(IF('Sector Summary'!$B$1="Daily",F17/C17-1,IF('Sector Summary'!$B$1="Weekly",F17/D17-1,F17/E17-1)),"")</f>
        <v/>
      </c>
      <c r="H17" s="14" t="n">
        <f aca="false">IFERROR(SUMPRODUCT(($A$14:$A$23=A17)*($G$14:$G$23&gt;G17))+1,"")</f>
        <v>1</v>
      </c>
      <c r="I17" s="14" t="str">
        <f aca="false">A17&amp;"|"&amp;H17</f>
        <v>IT|1</v>
      </c>
    </row>
    <row r="18" customFormat="false" ht="15" hidden="false" customHeight="false" outlineLevel="0" collapsed="false">
      <c r="A18" s="11" t="s">
        <v>42</v>
      </c>
      <c r="B18" s="11" t="s">
        <v>81</v>
      </c>
      <c r="C18" s="12" t="n">
        <v>0</v>
      </c>
      <c r="D18" s="12" t="n">
        <v>0</v>
      </c>
      <c r="E18" s="12" t="n">
        <v>0</v>
      </c>
      <c r="F18" s="12" t="n">
        <v>0</v>
      </c>
      <c r="G18" s="13" t="str">
        <f aca="false">IFERROR(IF('Sector Summary'!$B$1="Daily",F18/C18-1,IF('Sector Summary'!$B$1="Weekly",F18/D18-1,F18/E18-1)),"")</f>
        <v/>
      </c>
      <c r="H18" s="14" t="n">
        <f aca="false">IFERROR(SUMPRODUCT(($A$14:$A$23=A18)*($G$14:$G$23&gt;G18))+1,"")</f>
        <v>1</v>
      </c>
      <c r="I18" s="14" t="str">
        <f aca="false">A18&amp;"|"&amp;H18</f>
        <v>IT|1</v>
      </c>
    </row>
    <row r="19" customFormat="false" ht="15" hidden="false" customHeight="false" outlineLevel="0" collapsed="false">
      <c r="A19" s="11" t="s">
        <v>42</v>
      </c>
      <c r="B19" s="11" t="s">
        <v>82</v>
      </c>
      <c r="C19" s="12" t="n">
        <v>0</v>
      </c>
      <c r="D19" s="12" t="n">
        <v>0</v>
      </c>
      <c r="E19" s="12" t="n">
        <v>0</v>
      </c>
      <c r="F19" s="12" t="n">
        <v>0</v>
      </c>
      <c r="G19" s="13" t="str">
        <f aca="false">IFERROR(IF('Sector Summary'!$B$1="Daily",F19/C19-1,IF('Sector Summary'!$B$1="Weekly",F19/D19-1,F19/E19-1)),"")</f>
        <v/>
      </c>
      <c r="H19" s="14" t="n">
        <f aca="false">IFERROR(SUMPRODUCT(($A$14:$A$23=A19)*($G$14:$G$23&gt;G19))+1,"")</f>
        <v>1</v>
      </c>
      <c r="I19" s="14" t="str">
        <f aca="false">A19&amp;"|"&amp;H19</f>
        <v>IT|1</v>
      </c>
    </row>
    <row r="20" customFormat="false" ht="15" hidden="false" customHeight="false" outlineLevel="0" collapsed="false">
      <c r="A20" s="11" t="s">
        <v>42</v>
      </c>
      <c r="B20" s="11" t="s">
        <v>83</v>
      </c>
      <c r="C20" s="12" t="n">
        <v>0</v>
      </c>
      <c r="D20" s="12" t="n">
        <v>0</v>
      </c>
      <c r="E20" s="12" t="n">
        <v>0</v>
      </c>
      <c r="F20" s="12" t="n">
        <v>0</v>
      </c>
      <c r="G20" s="13" t="str">
        <f aca="false">IFERROR(IF('Sector Summary'!$B$1="Daily",F20/C20-1,IF('Sector Summary'!$B$1="Weekly",F20/D20-1,F20/E20-1)),"")</f>
        <v/>
      </c>
      <c r="H20" s="14" t="n">
        <f aca="false">IFERROR(SUMPRODUCT(($A$14:$A$23=A20)*($G$14:$G$23&gt;G20))+1,"")</f>
        <v>1</v>
      </c>
      <c r="I20" s="14" t="str">
        <f aca="false">A20&amp;"|"&amp;H20</f>
        <v>IT|1</v>
      </c>
    </row>
    <row r="21" customFormat="false" ht="15" hidden="false" customHeight="false" outlineLevel="0" collapsed="false">
      <c r="A21" s="11" t="s">
        <v>42</v>
      </c>
      <c r="B21" s="11" t="s">
        <v>84</v>
      </c>
      <c r="C21" s="12" t="n">
        <v>0</v>
      </c>
      <c r="D21" s="12" t="n">
        <v>0</v>
      </c>
      <c r="E21" s="12" t="n">
        <v>0</v>
      </c>
      <c r="F21" s="12" t="n">
        <v>0</v>
      </c>
      <c r="G21" s="13" t="str">
        <f aca="false">IFERROR(IF('Sector Summary'!$B$1="Daily",F21/C21-1,IF('Sector Summary'!$B$1="Weekly",F21/D21-1,F21/E21-1)),"")</f>
        <v/>
      </c>
      <c r="H21" s="14" t="n">
        <f aca="false">IFERROR(SUMPRODUCT(($A$14:$A$23=A21)*($G$14:$G$23&gt;G21))+1,"")</f>
        <v>1</v>
      </c>
      <c r="I21" s="14" t="str">
        <f aca="false">A21&amp;"|"&amp;H21</f>
        <v>IT|1</v>
      </c>
    </row>
    <row r="22" customFormat="false" ht="15" hidden="false" customHeight="false" outlineLevel="0" collapsed="false">
      <c r="A22" s="11" t="s">
        <v>42</v>
      </c>
      <c r="B22" s="11" t="s">
        <v>85</v>
      </c>
      <c r="C22" s="12" t="n">
        <v>0</v>
      </c>
      <c r="D22" s="12" t="n">
        <v>0</v>
      </c>
      <c r="E22" s="12" t="n">
        <v>0</v>
      </c>
      <c r="F22" s="12" t="n">
        <v>0</v>
      </c>
      <c r="G22" s="13" t="str">
        <f aca="false">IFERROR(IF('Sector Summary'!$B$1="Daily",F22/C22-1,IF('Sector Summary'!$B$1="Weekly",F22/D22-1,F22/E22-1)),"")</f>
        <v/>
      </c>
      <c r="H22" s="14" t="n">
        <f aca="false">IFERROR(SUMPRODUCT(($A$14:$A$23=A22)*($G$14:$G$23&gt;G22))+1,"")</f>
        <v>1</v>
      </c>
      <c r="I22" s="14" t="str">
        <f aca="false">A22&amp;"|"&amp;H22</f>
        <v>IT|1</v>
      </c>
    </row>
    <row r="23" customFormat="false" ht="15" hidden="false" customHeight="false" outlineLevel="0" collapsed="false">
      <c r="A23" s="11" t="s">
        <v>42</v>
      </c>
      <c r="B23" s="11" t="s">
        <v>86</v>
      </c>
      <c r="C23" s="12" t="n">
        <v>0</v>
      </c>
      <c r="D23" s="12" t="n">
        <v>0</v>
      </c>
      <c r="E23" s="12" t="n">
        <v>0</v>
      </c>
      <c r="F23" s="12" t="n">
        <v>0</v>
      </c>
      <c r="G23" s="13" t="str">
        <f aca="false">IFERROR(IF('Sector Summary'!$B$1="Daily",F23/C23-1,IF('Sector Summary'!$B$1="Weekly",F23/D23-1,F23/E23-1)),"")</f>
        <v/>
      </c>
      <c r="H23" s="14" t="n">
        <f aca="false">IFERROR(SUMPRODUCT(($A$14:$A$23=A23)*($G$14:$G$23&gt;G23))+1,"")</f>
        <v>1</v>
      </c>
      <c r="I23" s="14" t="str">
        <f aca="false">A23&amp;"|"&amp;H23</f>
        <v>IT|1</v>
      </c>
    </row>
    <row r="24" customFormat="false" ht="15" hidden="false" customHeight="false" outlineLevel="0" collapsed="false">
      <c r="A24" s="7" t="s">
        <v>44</v>
      </c>
      <c r="B24" s="7" t="s">
        <v>87</v>
      </c>
      <c r="C24" s="8" t="n">
        <v>0</v>
      </c>
      <c r="D24" s="8" t="n">
        <v>0</v>
      </c>
      <c r="E24" s="8" t="n">
        <v>0</v>
      </c>
      <c r="F24" s="8" t="n">
        <v>0</v>
      </c>
      <c r="G24" s="9" t="str">
        <f aca="false">IFERROR(IF('Sector Summary'!$B$1="Daily",F24/C24-1,IF('Sector Summary'!$B$1="Weekly",F24/D24-1,F24/E24-1)),"")</f>
        <v/>
      </c>
      <c r="H24" s="10" t="n">
        <f aca="false">IFERROR(SUMPRODUCT(($A$24:$A$35=A24)*($G$24:$G$35&gt;G24))+1,"")</f>
        <v>1</v>
      </c>
      <c r="I24" s="10" t="str">
        <f aca="false">A24&amp;"|"&amp;H24</f>
        <v>Auto|1</v>
      </c>
    </row>
    <row r="25" customFormat="false" ht="15" hidden="false" customHeight="false" outlineLevel="0" collapsed="false">
      <c r="A25" s="7" t="s">
        <v>44</v>
      </c>
      <c r="B25" s="7" t="s">
        <v>88</v>
      </c>
      <c r="C25" s="8" t="n">
        <v>0</v>
      </c>
      <c r="D25" s="8" t="n">
        <v>0</v>
      </c>
      <c r="E25" s="8" t="n">
        <v>0</v>
      </c>
      <c r="F25" s="8" t="n">
        <v>0</v>
      </c>
      <c r="G25" s="9" t="str">
        <f aca="false">IFERROR(IF('Sector Summary'!$B$1="Daily",F25/C25-1,IF('Sector Summary'!$B$1="Weekly",F25/D25-1,F25/E25-1)),"")</f>
        <v/>
      </c>
      <c r="H25" s="10" t="n">
        <f aca="false">IFERROR(SUMPRODUCT(($A$24:$A$35=A25)*($G$24:$G$35&gt;G25))+1,"")</f>
        <v>1</v>
      </c>
      <c r="I25" s="10" t="str">
        <f aca="false">A25&amp;"|"&amp;H25</f>
        <v>Auto|1</v>
      </c>
    </row>
    <row r="26" customFormat="false" ht="15" hidden="false" customHeight="false" outlineLevel="0" collapsed="false">
      <c r="A26" s="7" t="s">
        <v>44</v>
      </c>
      <c r="B26" s="7" t="s">
        <v>89</v>
      </c>
      <c r="C26" s="8" t="n">
        <v>0</v>
      </c>
      <c r="D26" s="8" t="n">
        <v>0</v>
      </c>
      <c r="E26" s="8" t="n">
        <v>0</v>
      </c>
      <c r="F26" s="8" t="n">
        <v>0</v>
      </c>
      <c r="G26" s="9" t="str">
        <f aca="false">IFERROR(IF('Sector Summary'!$B$1="Daily",F26/C26-1,IF('Sector Summary'!$B$1="Weekly",F26/D26-1,F26/E26-1)),"")</f>
        <v/>
      </c>
      <c r="H26" s="10" t="n">
        <f aca="false">IFERROR(SUMPRODUCT(($A$24:$A$35=A26)*($G$24:$G$35&gt;G26))+1,"")</f>
        <v>1</v>
      </c>
      <c r="I26" s="10" t="str">
        <f aca="false">A26&amp;"|"&amp;H26</f>
        <v>Auto|1</v>
      </c>
    </row>
    <row r="27" customFormat="false" ht="15" hidden="false" customHeight="false" outlineLevel="0" collapsed="false">
      <c r="A27" s="7" t="s">
        <v>44</v>
      </c>
      <c r="B27" s="7" t="s">
        <v>90</v>
      </c>
      <c r="C27" s="8" t="n">
        <v>0</v>
      </c>
      <c r="D27" s="8" t="n">
        <v>0</v>
      </c>
      <c r="E27" s="8" t="n">
        <v>0</v>
      </c>
      <c r="F27" s="8" t="n">
        <v>0</v>
      </c>
      <c r="G27" s="9" t="str">
        <f aca="false">IFERROR(IF('Sector Summary'!$B$1="Daily",F27/C27-1,IF('Sector Summary'!$B$1="Weekly",F27/D27-1,F27/E27-1)),"")</f>
        <v/>
      </c>
      <c r="H27" s="10" t="n">
        <f aca="false">IFERROR(SUMPRODUCT(($A$24:$A$35=A27)*($G$24:$G$35&gt;G27))+1,"")</f>
        <v>1</v>
      </c>
      <c r="I27" s="10" t="str">
        <f aca="false">A27&amp;"|"&amp;H27</f>
        <v>Auto|1</v>
      </c>
    </row>
    <row r="28" customFormat="false" ht="15" hidden="false" customHeight="false" outlineLevel="0" collapsed="false">
      <c r="A28" s="7" t="s">
        <v>44</v>
      </c>
      <c r="B28" s="7" t="s">
        <v>91</v>
      </c>
      <c r="C28" s="8" t="n">
        <v>0</v>
      </c>
      <c r="D28" s="8" t="n">
        <v>0</v>
      </c>
      <c r="E28" s="8" t="n">
        <v>0</v>
      </c>
      <c r="F28" s="8" t="n">
        <v>0</v>
      </c>
      <c r="G28" s="9" t="str">
        <f aca="false">IFERROR(IF('Sector Summary'!$B$1="Daily",F28/C28-1,IF('Sector Summary'!$B$1="Weekly",F28/D28-1,F28/E28-1)),"")</f>
        <v/>
      </c>
      <c r="H28" s="10" t="n">
        <f aca="false">IFERROR(SUMPRODUCT(($A$24:$A$35=A28)*($G$24:$G$35&gt;G28))+1,"")</f>
        <v>1</v>
      </c>
      <c r="I28" s="10" t="str">
        <f aca="false">A28&amp;"|"&amp;H28</f>
        <v>Auto|1</v>
      </c>
    </row>
    <row r="29" customFormat="false" ht="15" hidden="false" customHeight="false" outlineLevel="0" collapsed="false">
      <c r="A29" s="7" t="s">
        <v>44</v>
      </c>
      <c r="B29" s="7" t="s">
        <v>92</v>
      </c>
      <c r="C29" s="8" t="n">
        <v>0</v>
      </c>
      <c r="D29" s="8" t="n">
        <v>0</v>
      </c>
      <c r="E29" s="8" t="n">
        <v>0</v>
      </c>
      <c r="F29" s="8" t="n">
        <v>0</v>
      </c>
      <c r="G29" s="9" t="str">
        <f aca="false">IFERROR(IF('Sector Summary'!$B$1="Daily",F29/C29-1,IF('Sector Summary'!$B$1="Weekly",F29/D29-1,F29/E29-1)),"")</f>
        <v/>
      </c>
      <c r="H29" s="10" t="n">
        <f aca="false">IFERROR(SUMPRODUCT(($A$24:$A$35=A29)*($G$24:$G$35&gt;G29))+1,"")</f>
        <v>1</v>
      </c>
      <c r="I29" s="10" t="str">
        <f aca="false">A29&amp;"|"&amp;H29</f>
        <v>Auto|1</v>
      </c>
    </row>
    <row r="30" customFormat="false" ht="15" hidden="false" customHeight="false" outlineLevel="0" collapsed="false">
      <c r="A30" s="7" t="s">
        <v>44</v>
      </c>
      <c r="B30" s="7" t="s">
        <v>93</v>
      </c>
      <c r="C30" s="8" t="n">
        <v>0</v>
      </c>
      <c r="D30" s="8" t="n">
        <v>0</v>
      </c>
      <c r="E30" s="8" t="n">
        <v>0</v>
      </c>
      <c r="F30" s="8" t="n">
        <v>0</v>
      </c>
      <c r="G30" s="9" t="str">
        <f aca="false">IFERROR(IF('Sector Summary'!$B$1="Daily",F30/C30-1,IF('Sector Summary'!$B$1="Weekly",F30/D30-1,F30/E30-1)),"")</f>
        <v/>
      </c>
      <c r="H30" s="10" t="n">
        <f aca="false">IFERROR(SUMPRODUCT(($A$24:$A$35=A30)*($G$24:$G$35&gt;G30))+1,"")</f>
        <v>1</v>
      </c>
      <c r="I30" s="10" t="str">
        <f aca="false">A30&amp;"|"&amp;H30</f>
        <v>Auto|1</v>
      </c>
    </row>
    <row r="31" customFormat="false" ht="15" hidden="false" customHeight="false" outlineLevel="0" collapsed="false">
      <c r="A31" s="7" t="s">
        <v>44</v>
      </c>
      <c r="B31" s="7" t="s">
        <v>94</v>
      </c>
      <c r="C31" s="8" t="n">
        <v>0</v>
      </c>
      <c r="D31" s="8" t="n">
        <v>0</v>
      </c>
      <c r="E31" s="8" t="n">
        <v>0</v>
      </c>
      <c r="F31" s="8" t="n">
        <v>0</v>
      </c>
      <c r="G31" s="9" t="str">
        <f aca="false">IFERROR(IF('Sector Summary'!$B$1="Daily",F31/C31-1,IF('Sector Summary'!$B$1="Weekly",F31/D31-1,F31/E31-1)),"")</f>
        <v/>
      </c>
      <c r="H31" s="10" t="n">
        <f aca="false">IFERROR(SUMPRODUCT(($A$24:$A$35=A31)*($G$24:$G$35&gt;G31))+1,"")</f>
        <v>1</v>
      </c>
      <c r="I31" s="10" t="str">
        <f aca="false">A31&amp;"|"&amp;H31</f>
        <v>Auto|1</v>
      </c>
    </row>
    <row r="32" customFormat="false" ht="15" hidden="false" customHeight="false" outlineLevel="0" collapsed="false">
      <c r="A32" s="7" t="s">
        <v>44</v>
      </c>
      <c r="B32" s="7" t="s">
        <v>95</v>
      </c>
      <c r="C32" s="8" t="n">
        <v>0</v>
      </c>
      <c r="D32" s="8" t="n">
        <v>0</v>
      </c>
      <c r="E32" s="8" t="n">
        <v>0</v>
      </c>
      <c r="F32" s="8" t="n">
        <v>0</v>
      </c>
      <c r="G32" s="9" t="str">
        <f aca="false">IFERROR(IF('Sector Summary'!$B$1="Daily",F32/C32-1,IF('Sector Summary'!$B$1="Weekly",F32/D32-1,F32/E32-1)),"")</f>
        <v/>
      </c>
      <c r="H32" s="10" t="n">
        <f aca="false">IFERROR(SUMPRODUCT(($A$24:$A$35=A32)*($G$24:$G$35&gt;G32))+1,"")</f>
        <v>1</v>
      </c>
      <c r="I32" s="10" t="str">
        <f aca="false">A32&amp;"|"&amp;H32</f>
        <v>Auto|1</v>
      </c>
    </row>
    <row r="33" customFormat="false" ht="15" hidden="false" customHeight="false" outlineLevel="0" collapsed="false">
      <c r="A33" s="7" t="s">
        <v>44</v>
      </c>
      <c r="B33" s="7" t="s">
        <v>96</v>
      </c>
      <c r="C33" s="8" t="n">
        <v>0</v>
      </c>
      <c r="D33" s="8" t="n">
        <v>0</v>
      </c>
      <c r="E33" s="8" t="n">
        <v>0</v>
      </c>
      <c r="F33" s="8" t="n">
        <v>0</v>
      </c>
      <c r="G33" s="9" t="str">
        <f aca="false">IFERROR(IF('Sector Summary'!$B$1="Daily",F33/C33-1,IF('Sector Summary'!$B$1="Weekly",F33/D33-1,F33/E33-1)),"")</f>
        <v/>
      </c>
      <c r="H33" s="10" t="n">
        <f aca="false">IFERROR(SUMPRODUCT(($A$24:$A$35=A33)*($G$24:$G$35&gt;G33))+1,"")</f>
        <v>1</v>
      </c>
      <c r="I33" s="10" t="str">
        <f aca="false">A33&amp;"|"&amp;H33</f>
        <v>Auto|1</v>
      </c>
    </row>
    <row r="34" customFormat="false" ht="15" hidden="false" customHeight="false" outlineLevel="0" collapsed="false">
      <c r="A34" s="7" t="s">
        <v>44</v>
      </c>
      <c r="B34" s="7" t="s">
        <v>97</v>
      </c>
      <c r="C34" s="8" t="n">
        <v>0</v>
      </c>
      <c r="D34" s="8" t="n">
        <v>0</v>
      </c>
      <c r="E34" s="8" t="n">
        <v>0</v>
      </c>
      <c r="F34" s="8" t="n">
        <v>0</v>
      </c>
      <c r="G34" s="9" t="str">
        <f aca="false">IFERROR(IF('Sector Summary'!$B$1="Daily",F34/C34-1,IF('Sector Summary'!$B$1="Weekly",F34/D34-1,F34/E34-1)),"")</f>
        <v/>
      </c>
      <c r="H34" s="10" t="n">
        <f aca="false">IFERROR(SUMPRODUCT(($A$24:$A$35=A34)*($G$24:$G$35&gt;G34))+1,"")</f>
        <v>1</v>
      </c>
      <c r="I34" s="10" t="str">
        <f aca="false">A34&amp;"|"&amp;H34</f>
        <v>Auto|1</v>
      </c>
    </row>
    <row r="35" customFormat="false" ht="15" hidden="false" customHeight="false" outlineLevel="0" collapsed="false">
      <c r="A35" s="7" t="s">
        <v>44</v>
      </c>
      <c r="B35" s="7" t="s">
        <v>98</v>
      </c>
      <c r="C35" s="8" t="n">
        <v>0</v>
      </c>
      <c r="D35" s="8" t="n">
        <v>0</v>
      </c>
      <c r="E35" s="8" t="n">
        <v>0</v>
      </c>
      <c r="F35" s="8" t="n">
        <v>0</v>
      </c>
      <c r="G35" s="9" t="str">
        <f aca="false">IFERROR(IF('Sector Summary'!$B$1="Daily",F35/C35-1,IF('Sector Summary'!$B$1="Weekly",F35/D35-1,F35/E35-1)),"")</f>
        <v/>
      </c>
      <c r="H35" s="10" t="n">
        <f aca="false">IFERROR(SUMPRODUCT(($A$24:$A$35=A35)*($G$24:$G$35&gt;G35))+1,"")</f>
        <v>1</v>
      </c>
      <c r="I35" s="10" t="str">
        <f aca="false">A35&amp;"|"&amp;H35</f>
        <v>Auto|1</v>
      </c>
    </row>
    <row r="36" customFormat="false" ht="15" hidden="false" customHeight="false" outlineLevel="0" collapsed="false">
      <c r="A36" s="11" t="s">
        <v>46</v>
      </c>
      <c r="B36" s="11" t="s">
        <v>99</v>
      </c>
      <c r="C36" s="12" t="n">
        <v>0</v>
      </c>
      <c r="D36" s="12" t="n">
        <v>0</v>
      </c>
      <c r="E36" s="12" t="n">
        <v>0</v>
      </c>
      <c r="F36" s="12" t="n">
        <v>0</v>
      </c>
      <c r="G36" s="13" t="str">
        <f aca="false">IFERROR(IF('Sector Summary'!$B$1="Daily",F36/C36-1,IF('Sector Summary'!$B$1="Weekly",F36/D36-1,F36/E36-1)),"")</f>
        <v/>
      </c>
      <c r="H36" s="14" t="n">
        <f aca="false">IFERROR(SUMPRODUCT(($A$36:$A$47=A36)*($G$36:$G$47&gt;G36))+1,"")</f>
        <v>1</v>
      </c>
      <c r="I36" s="14" t="str">
        <f aca="false">A36&amp;"|"&amp;H36</f>
        <v>Pharma|1</v>
      </c>
    </row>
    <row r="37" customFormat="false" ht="15" hidden="false" customHeight="false" outlineLevel="0" collapsed="false">
      <c r="A37" s="11" t="s">
        <v>46</v>
      </c>
      <c r="B37" s="11" t="s">
        <v>100</v>
      </c>
      <c r="C37" s="12" t="n">
        <v>0</v>
      </c>
      <c r="D37" s="12" t="n">
        <v>0</v>
      </c>
      <c r="E37" s="12" t="n">
        <v>0</v>
      </c>
      <c r="F37" s="12" t="n">
        <v>0</v>
      </c>
      <c r="G37" s="13" t="str">
        <f aca="false">IFERROR(IF('Sector Summary'!$B$1="Daily",F37/C37-1,IF('Sector Summary'!$B$1="Weekly",F37/D37-1,F37/E37-1)),"")</f>
        <v/>
      </c>
      <c r="H37" s="14" t="n">
        <f aca="false">IFERROR(SUMPRODUCT(($A$36:$A$47=A37)*($G$36:$G$47&gt;G37))+1,"")</f>
        <v>1</v>
      </c>
      <c r="I37" s="14" t="str">
        <f aca="false">A37&amp;"|"&amp;H37</f>
        <v>Pharma|1</v>
      </c>
    </row>
    <row r="38" customFormat="false" ht="15" hidden="false" customHeight="false" outlineLevel="0" collapsed="false">
      <c r="A38" s="11" t="s">
        <v>46</v>
      </c>
      <c r="B38" s="11" t="s">
        <v>101</v>
      </c>
      <c r="C38" s="12" t="n">
        <v>0</v>
      </c>
      <c r="D38" s="12" t="n">
        <v>0</v>
      </c>
      <c r="E38" s="12" t="n">
        <v>0</v>
      </c>
      <c r="F38" s="12" t="n">
        <v>0</v>
      </c>
      <c r="G38" s="13" t="str">
        <f aca="false">IFERROR(IF('Sector Summary'!$B$1="Daily",F38/C38-1,IF('Sector Summary'!$B$1="Weekly",F38/D38-1,F38/E38-1)),"")</f>
        <v/>
      </c>
      <c r="H38" s="14" t="n">
        <f aca="false">IFERROR(SUMPRODUCT(($A$36:$A$47=A38)*($G$36:$G$47&gt;G38))+1,"")</f>
        <v>1</v>
      </c>
      <c r="I38" s="14" t="str">
        <f aca="false">A38&amp;"|"&amp;H38</f>
        <v>Pharma|1</v>
      </c>
    </row>
    <row r="39" customFormat="false" ht="15" hidden="false" customHeight="false" outlineLevel="0" collapsed="false">
      <c r="A39" s="11" t="s">
        <v>46</v>
      </c>
      <c r="B39" s="11" t="s">
        <v>102</v>
      </c>
      <c r="C39" s="12" t="n">
        <v>0</v>
      </c>
      <c r="D39" s="12" t="n">
        <v>0</v>
      </c>
      <c r="E39" s="12" t="n">
        <v>0</v>
      </c>
      <c r="F39" s="12" t="n">
        <v>0</v>
      </c>
      <c r="G39" s="13" t="str">
        <f aca="false">IFERROR(IF('Sector Summary'!$B$1="Daily",F39/C39-1,IF('Sector Summary'!$B$1="Weekly",F39/D39-1,F39/E39-1)),"")</f>
        <v/>
      </c>
      <c r="H39" s="14" t="n">
        <f aca="false">IFERROR(SUMPRODUCT(($A$36:$A$47=A39)*($G$36:$G$47&gt;G39))+1,"")</f>
        <v>1</v>
      </c>
      <c r="I39" s="14" t="str">
        <f aca="false">A39&amp;"|"&amp;H39</f>
        <v>Pharma|1</v>
      </c>
    </row>
    <row r="40" customFormat="false" ht="15" hidden="false" customHeight="false" outlineLevel="0" collapsed="false">
      <c r="A40" s="11" t="s">
        <v>46</v>
      </c>
      <c r="B40" s="11" t="s">
        <v>103</v>
      </c>
      <c r="C40" s="12" t="n">
        <v>0</v>
      </c>
      <c r="D40" s="12" t="n">
        <v>0</v>
      </c>
      <c r="E40" s="12" t="n">
        <v>0</v>
      </c>
      <c r="F40" s="12" t="n">
        <v>0</v>
      </c>
      <c r="G40" s="13" t="str">
        <f aca="false">IFERROR(IF('Sector Summary'!$B$1="Daily",F40/C40-1,IF('Sector Summary'!$B$1="Weekly",F40/D40-1,F40/E40-1)),"")</f>
        <v/>
      </c>
      <c r="H40" s="14" t="n">
        <f aca="false">IFERROR(SUMPRODUCT(($A$36:$A$47=A40)*($G$36:$G$47&gt;G40))+1,"")</f>
        <v>1</v>
      </c>
      <c r="I40" s="14" t="str">
        <f aca="false">A40&amp;"|"&amp;H40</f>
        <v>Pharma|1</v>
      </c>
    </row>
    <row r="41" customFormat="false" ht="15" hidden="false" customHeight="false" outlineLevel="0" collapsed="false">
      <c r="A41" s="11" t="s">
        <v>46</v>
      </c>
      <c r="B41" s="11" t="s">
        <v>104</v>
      </c>
      <c r="C41" s="12" t="n">
        <v>0</v>
      </c>
      <c r="D41" s="12" t="n">
        <v>0</v>
      </c>
      <c r="E41" s="12" t="n">
        <v>0</v>
      </c>
      <c r="F41" s="12" t="n">
        <v>0</v>
      </c>
      <c r="G41" s="13" t="str">
        <f aca="false">IFERROR(IF('Sector Summary'!$B$1="Daily",F41/C41-1,IF('Sector Summary'!$B$1="Weekly",F41/D41-1,F41/E41-1)),"")</f>
        <v/>
      </c>
      <c r="H41" s="14" t="n">
        <f aca="false">IFERROR(SUMPRODUCT(($A$36:$A$47=A41)*($G$36:$G$47&gt;G41))+1,"")</f>
        <v>1</v>
      </c>
      <c r="I41" s="14" t="str">
        <f aca="false">A41&amp;"|"&amp;H41</f>
        <v>Pharma|1</v>
      </c>
    </row>
    <row r="42" customFormat="false" ht="15" hidden="false" customHeight="false" outlineLevel="0" collapsed="false">
      <c r="A42" s="11" t="s">
        <v>46</v>
      </c>
      <c r="B42" s="11" t="s">
        <v>105</v>
      </c>
      <c r="C42" s="12" t="n">
        <v>0</v>
      </c>
      <c r="D42" s="12" t="n">
        <v>0</v>
      </c>
      <c r="E42" s="12" t="n">
        <v>0</v>
      </c>
      <c r="F42" s="12" t="n">
        <v>0</v>
      </c>
      <c r="G42" s="13" t="str">
        <f aca="false">IFERROR(IF('Sector Summary'!$B$1="Daily",F42/C42-1,IF('Sector Summary'!$B$1="Weekly",F42/D42-1,F42/E42-1)),"")</f>
        <v/>
      </c>
      <c r="H42" s="14" t="n">
        <f aca="false">IFERROR(SUMPRODUCT(($A$36:$A$47=A42)*($G$36:$G$47&gt;G42))+1,"")</f>
        <v>1</v>
      </c>
      <c r="I42" s="14" t="str">
        <f aca="false">A42&amp;"|"&amp;H42</f>
        <v>Pharma|1</v>
      </c>
    </row>
    <row r="43" customFormat="false" ht="15" hidden="false" customHeight="false" outlineLevel="0" collapsed="false">
      <c r="A43" s="11" t="s">
        <v>46</v>
      </c>
      <c r="B43" s="11" t="s">
        <v>106</v>
      </c>
      <c r="C43" s="12" t="n">
        <v>0</v>
      </c>
      <c r="D43" s="12" t="n">
        <v>0</v>
      </c>
      <c r="E43" s="12" t="n">
        <v>0</v>
      </c>
      <c r="F43" s="12" t="n">
        <v>0</v>
      </c>
      <c r="G43" s="13" t="str">
        <f aca="false">IFERROR(IF('Sector Summary'!$B$1="Daily",F43/C43-1,IF('Sector Summary'!$B$1="Weekly",F43/D43-1,F43/E43-1)),"")</f>
        <v/>
      </c>
      <c r="H43" s="14" t="n">
        <f aca="false">IFERROR(SUMPRODUCT(($A$36:$A$47=A43)*($G$36:$G$47&gt;G43))+1,"")</f>
        <v>1</v>
      </c>
      <c r="I43" s="14" t="str">
        <f aca="false">A43&amp;"|"&amp;H43</f>
        <v>Pharma|1</v>
      </c>
    </row>
    <row r="44" customFormat="false" ht="15" hidden="false" customHeight="false" outlineLevel="0" collapsed="false">
      <c r="A44" s="11" t="s">
        <v>46</v>
      </c>
      <c r="B44" s="11" t="s">
        <v>107</v>
      </c>
      <c r="C44" s="12" t="n">
        <v>0</v>
      </c>
      <c r="D44" s="12" t="n">
        <v>0</v>
      </c>
      <c r="E44" s="12" t="n">
        <v>0</v>
      </c>
      <c r="F44" s="12" t="n">
        <v>0</v>
      </c>
      <c r="G44" s="13" t="str">
        <f aca="false">IFERROR(IF('Sector Summary'!$B$1="Daily",F44/C44-1,IF('Sector Summary'!$B$1="Weekly",F44/D44-1,F44/E44-1)),"")</f>
        <v/>
      </c>
      <c r="H44" s="14" t="n">
        <f aca="false">IFERROR(SUMPRODUCT(($A$36:$A$47=A44)*($G$36:$G$47&gt;G44))+1,"")</f>
        <v>1</v>
      </c>
      <c r="I44" s="14" t="str">
        <f aca="false">A44&amp;"|"&amp;H44</f>
        <v>Pharma|1</v>
      </c>
    </row>
    <row r="45" customFormat="false" ht="15" hidden="false" customHeight="false" outlineLevel="0" collapsed="false">
      <c r="A45" s="11" t="s">
        <v>46</v>
      </c>
      <c r="B45" s="11" t="s">
        <v>108</v>
      </c>
      <c r="C45" s="12" t="n">
        <v>0</v>
      </c>
      <c r="D45" s="12" t="n">
        <v>0</v>
      </c>
      <c r="E45" s="12" t="n">
        <v>0</v>
      </c>
      <c r="F45" s="12" t="n">
        <v>0</v>
      </c>
      <c r="G45" s="13" t="str">
        <f aca="false">IFERROR(IF('Sector Summary'!$B$1="Daily",F45/C45-1,IF('Sector Summary'!$B$1="Weekly",F45/D45-1,F45/E45-1)),"")</f>
        <v/>
      </c>
      <c r="H45" s="14" t="n">
        <f aca="false">IFERROR(SUMPRODUCT(($A$36:$A$47=A45)*($G$36:$G$47&gt;G45))+1,"")</f>
        <v>1</v>
      </c>
      <c r="I45" s="14" t="str">
        <f aca="false">A45&amp;"|"&amp;H45</f>
        <v>Pharma|1</v>
      </c>
    </row>
    <row r="46" customFormat="false" ht="15" hidden="false" customHeight="false" outlineLevel="0" collapsed="false">
      <c r="A46" s="11" t="s">
        <v>46</v>
      </c>
      <c r="B46" s="11" t="s">
        <v>109</v>
      </c>
      <c r="C46" s="12" t="n">
        <v>0</v>
      </c>
      <c r="D46" s="12" t="n">
        <v>0</v>
      </c>
      <c r="E46" s="12" t="n">
        <v>0</v>
      </c>
      <c r="F46" s="12" t="n">
        <v>0</v>
      </c>
      <c r="G46" s="13" t="str">
        <f aca="false">IFERROR(IF('Sector Summary'!$B$1="Daily",F46/C46-1,IF('Sector Summary'!$B$1="Weekly",F46/D46-1,F46/E46-1)),"")</f>
        <v/>
      </c>
      <c r="H46" s="14" t="n">
        <f aca="false">IFERROR(SUMPRODUCT(($A$36:$A$47=A46)*($G$36:$G$47&gt;G46))+1,"")</f>
        <v>1</v>
      </c>
      <c r="I46" s="14" t="str">
        <f aca="false">A46&amp;"|"&amp;H46</f>
        <v>Pharma|1</v>
      </c>
    </row>
    <row r="47" customFormat="false" ht="15" hidden="false" customHeight="false" outlineLevel="0" collapsed="false">
      <c r="A47" s="11" t="s">
        <v>46</v>
      </c>
      <c r="B47" s="11" t="s">
        <v>110</v>
      </c>
      <c r="C47" s="12" t="n">
        <v>0</v>
      </c>
      <c r="D47" s="12" t="n">
        <v>0</v>
      </c>
      <c r="E47" s="12" t="n">
        <v>0</v>
      </c>
      <c r="F47" s="12" t="n">
        <v>0</v>
      </c>
      <c r="G47" s="13" t="str">
        <f aca="false">IFERROR(IF('Sector Summary'!$B$1="Daily",F47/C47-1,IF('Sector Summary'!$B$1="Weekly",F47/D47-1,F47/E47-1)),"")</f>
        <v/>
      </c>
      <c r="H47" s="14" t="n">
        <f aca="false">IFERROR(SUMPRODUCT(($A$36:$A$47=A47)*($G$36:$G$47&gt;G47))+1,"")</f>
        <v>1</v>
      </c>
      <c r="I47" s="14" t="str">
        <f aca="false">A47&amp;"|"&amp;H47</f>
        <v>Pharma|1</v>
      </c>
    </row>
    <row r="48" customFormat="false" ht="15" hidden="false" customHeight="false" outlineLevel="0" collapsed="false">
      <c r="A48" s="7" t="s">
        <v>48</v>
      </c>
      <c r="B48" s="7" t="s">
        <v>111</v>
      </c>
      <c r="C48" s="8" t="n">
        <v>0</v>
      </c>
      <c r="D48" s="8" t="n">
        <v>0</v>
      </c>
      <c r="E48" s="8" t="n">
        <v>0</v>
      </c>
      <c r="F48" s="8" t="n">
        <v>0</v>
      </c>
      <c r="G48" s="9" t="str">
        <f aca="false">IFERROR(IF('Sector Summary'!$B$1="Daily",F48/C48-1,IF('Sector Summary'!$B$1="Weekly",F48/D48-1,F48/E48-1)),"")</f>
        <v/>
      </c>
      <c r="H48" s="10" t="n">
        <f aca="false">IFERROR(SUMPRODUCT(($A$48:$A$58=A48)*($G$48:$G$58&gt;G48))+1,"")</f>
        <v>1</v>
      </c>
      <c r="I48" s="10" t="str">
        <f aca="false">A48&amp;"|"&amp;H48</f>
        <v>FMCG|1</v>
      </c>
    </row>
    <row r="49" customFormat="false" ht="15" hidden="false" customHeight="false" outlineLevel="0" collapsed="false">
      <c r="A49" s="7" t="s">
        <v>48</v>
      </c>
      <c r="B49" s="7" t="s">
        <v>112</v>
      </c>
      <c r="C49" s="8" t="n">
        <v>0</v>
      </c>
      <c r="D49" s="8" t="n">
        <v>0</v>
      </c>
      <c r="E49" s="8" t="n">
        <v>0</v>
      </c>
      <c r="F49" s="8" t="n">
        <v>0</v>
      </c>
      <c r="G49" s="9" t="str">
        <f aca="false">IFERROR(IF('Sector Summary'!$B$1="Daily",F49/C49-1,IF('Sector Summary'!$B$1="Weekly",F49/D49-1,F49/E49-1)),"")</f>
        <v/>
      </c>
      <c r="H49" s="10" t="n">
        <f aca="false">IFERROR(SUMPRODUCT(($A$48:$A$58=A49)*($G$48:$G$58&gt;G49))+1,"")</f>
        <v>1</v>
      </c>
      <c r="I49" s="10" t="str">
        <f aca="false">A49&amp;"|"&amp;H49</f>
        <v>FMCG|1</v>
      </c>
    </row>
    <row r="50" customFormat="false" ht="15" hidden="false" customHeight="false" outlineLevel="0" collapsed="false">
      <c r="A50" s="7" t="s">
        <v>48</v>
      </c>
      <c r="B50" s="7" t="s">
        <v>113</v>
      </c>
      <c r="C50" s="8" t="n">
        <v>0</v>
      </c>
      <c r="D50" s="8" t="n">
        <v>0</v>
      </c>
      <c r="E50" s="8" t="n">
        <v>0</v>
      </c>
      <c r="F50" s="8" t="n">
        <v>0</v>
      </c>
      <c r="G50" s="9" t="str">
        <f aca="false">IFERROR(IF('Sector Summary'!$B$1="Daily",F50/C50-1,IF('Sector Summary'!$B$1="Weekly",F50/D50-1,F50/E50-1)),"")</f>
        <v/>
      </c>
      <c r="H50" s="10" t="n">
        <f aca="false">IFERROR(SUMPRODUCT(($A$48:$A$58=A50)*($G$48:$G$58&gt;G50))+1,"")</f>
        <v>1</v>
      </c>
      <c r="I50" s="10" t="str">
        <f aca="false">A50&amp;"|"&amp;H50</f>
        <v>FMCG|1</v>
      </c>
    </row>
    <row r="51" customFormat="false" ht="15" hidden="false" customHeight="false" outlineLevel="0" collapsed="false">
      <c r="A51" s="7" t="s">
        <v>48</v>
      </c>
      <c r="B51" s="7" t="s">
        <v>114</v>
      </c>
      <c r="C51" s="8" t="n">
        <v>0</v>
      </c>
      <c r="D51" s="8" t="n">
        <v>0</v>
      </c>
      <c r="E51" s="8" t="n">
        <v>0</v>
      </c>
      <c r="F51" s="8" t="n">
        <v>0</v>
      </c>
      <c r="G51" s="9" t="str">
        <f aca="false">IFERROR(IF('Sector Summary'!$B$1="Daily",F51/C51-1,IF('Sector Summary'!$B$1="Weekly",F51/D51-1,F51/E51-1)),"")</f>
        <v/>
      </c>
      <c r="H51" s="10" t="n">
        <f aca="false">IFERROR(SUMPRODUCT(($A$48:$A$58=A51)*($G$48:$G$58&gt;G51))+1,"")</f>
        <v>1</v>
      </c>
      <c r="I51" s="10" t="str">
        <f aca="false">A51&amp;"|"&amp;H51</f>
        <v>FMCG|1</v>
      </c>
    </row>
    <row r="52" customFormat="false" ht="15" hidden="false" customHeight="false" outlineLevel="0" collapsed="false">
      <c r="A52" s="7" t="s">
        <v>48</v>
      </c>
      <c r="B52" s="7" t="s">
        <v>115</v>
      </c>
      <c r="C52" s="8" t="n">
        <v>0</v>
      </c>
      <c r="D52" s="8" t="n">
        <v>0</v>
      </c>
      <c r="E52" s="8" t="n">
        <v>0</v>
      </c>
      <c r="F52" s="8" t="n">
        <v>0</v>
      </c>
      <c r="G52" s="9" t="str">
        <f aca="false">IFERROR(IF('Sector Summary'!$B$1="Daily",F52/C52-1,IF('Sector Summary'!$B$1="Weekly",F52/D52-1,F52/E52-1)),"")</f>
        <v/>
      </c>
      <c r="H52" s="10" t="n">
        <f aca="false">IFERROR(SUMPRODUCT(($A$48:$A$58=A52)*($G$48:$G$58&gt;G52))+1,"")</f>
        <v>1</v>
      </c>
      <c r="I52" s="10" t="str">
        <f aca="false">A52&amp;"|"&amp;H52</f>
        <v>FMCG|1</v>
      </c>
    </row>
    <row r="53" customFormat="false" ht="15" hidden="false" customHeight="false" outlineLevel="0" collapsed="false">
      <c r="A53" s="7" t="s">
        <v>48</v>
      </c>
      <c r="B53" s="7" t="s">
        <v>116</v>
      </c>
      <c r="C53" s="8" t="n">
        <v>0</v>
      </c>
      <c r="D53" s="8" t="n">
        <v>0</v>
      </c>
      <c r="E53" s="8" t="n">
        <v>0</v>
      </c>
      <c r="F53" s="8" t="n">
        <v>0</v>
      </c>
      <c r="G53" s="9" t="str">
        <f aca="false">IFERROR(IF('Sector Summary'!$B$1="Daily",F53/C53-1,IF('Sector Summary'!$B$1="Weekly",F53/D53-1,F53/E53-1)),"")</f>
        <v/>
      </c>
      <c r="H53" s="10" t="n">
        <f aca="false">IFERROR(SUMPRODUCT(($A$48:$A$58=A53)*($G$48:$G$58&gt;G53))+1,"")</f>
        <v>1</v>
      </c>
      <c r="I53" s="10" t="str">
        <f aca="false">A53&amp;"|"&amp;H53</f>
        <v>FMCG|1</v>
      </c>
    </row>
    <row r="54" customFormat="false" ht="15" hidden="false" customHeight="false" outlineLevel="0" collapsed="false">
      <c r="A54" s="7" t="s">
        <v>48</v>
      </c>
      <c r="B54" s="7" t="s">
        <v>117</v>
      </c>
      <c r="C54" s="8" t="n">
        <v>0</v>
      </c>
      <c r="D54" s="8" t="n">
        <v>0</v>
      </c>
      <c r="E54" s="8" t="n">
        <v>0</v>
      </c>
      <c r="F54" s="8" t="n">
        <v>0</v>
      </c>
      <c r="G54" s="9" t="str">
        <f aca="false">IFERROR(IF('Sector Summary'!$B$1="Daily",F54/C54-1,IF('Sector Summary'!$B$1="Weekly",F54/D54-1,F54/E54-1)),"")</f>
        <v/>
      </c>
      <c r="H54" s="10" t="n">
        <f aca="false">IFERROR(SUMPRODUCT(($A$48:$A$58=A54)*($G$48:$G$58&gt;G54))+1,"")</f>
        <v>1</v>
      </c>
      <c r="I54" s="10" t="str">
        <f aca="false">A54&amp;"|"&amp;H54</f>
        <v>FMCG|1</v>
      </c>
    </row>
    <row r="55" customFormat="false" ht="15" hidden="false" customHeight="false" outlineLevel="0" collapsed="false">
      <c r="A55" s="7" t="s">
        <v>48</v>
      </c>
      <c r="B55" s="7" t="s">
        <v>118</v>
      </c>
      <c r="C55" s="8" t="n">
        <v>0</v>
      </c>
      <c r="D55" s="8" t="n">
        <v>0</v>
      </c>
      <c r="E55" s="8" t="n">
        <v>0</v>
      </c>
      <c r="F55" s="8" t="n">
        <v>0</v>
      </c>
      <c r="G55" s="9" t="str">
        <f aca="false">IFERROR(IF('Sector Summary'!$B$1="Daily",F55/C55-1,IF('Sector Summary'!$B$1="Weekly",F55/D55-1,F55/E55-1)),"")</f>
        <v/>
      </c>
      <c r="H55" s="10" t="n">
        <f aca="false">IFERROR(SUMPRODUCT(($A$48:$A$58=A55)*($G$48:$G$58&gt;G55))+1,"")</f>
        <v>1</v>
      </c>
      <c r="I55" s="10" t="str">
        <f aca="false">A55&amp;"|"&amp;H55</f>
        <v>FMCG|1</v>
      </c>
    </row>
    <row r="56" customFormat="false" ht="15" hidden="false" customHeight="false" outlineLevel="0" collapsed="false">
      <c r="A56" s="7" t="s">
        <v>48</v>
      </c>
      <c r="B56" s="7" t="s">
        <v>119</v>
      </c>
      <c r="C56" s="8" t="n">
        <v>0</v>
      </c>
      <c r="D56" s="8" t="n">
        <v>0</v>
      </c>
      <c r="E56" s="8" t="n">
        <v>0</v>
      </c>
      <c r="F56" s="8" t="n">
        <v>0</v>
      </c>
      <c r="G56" s="9" t="str">
        <f aca="false">IFERROR(IF('Sector Summary'!$B$1="Daily",F56/C56-1,IF('Sector Summary'!$B$1="Weekly",F56/D56-1,F56/E56-1)),"")</f>
        <v/>
      </c>
      <c r="H56" s="10" t="n">
        <f aca="false">IFERROR(SUMPRODUCT(($A$48:$A$58=A56)*($G$48:$G$58&gt;G56))+1,"")</f>
        <v>1</v>
      </c>
      <c r="I56" s="10" t="str">
        <f aca="false">A56&amp;"|"&amp;H56</f>
        <v>FMCG|1</v>
      </c>
    </row>
    <row r="57" customFormat="false" ht="15" hidden="false" customHeight="false" outlineLevel="0" collapsed="false">
      <c r="A57" s="7" t="s">
        <v>48</v>
      </c>
      <c r="B57" s="7" t="s">
        <v>120</v>
      </c>
      <c r="C57" s="8" t="n">
        <v>0</v>
      </c>
      <c r="D57" s="8" t="n">
        <v>0</v>
      </c>
      <c r="E57" s="8" t="n">
        <v>0</v>
      </c>
      <c r="F57" s="8" t="n">
        <v>0</v>
      </c>
      <c r="G57" s="9" t="str">
        <f aca="false">IFERROR(IF('Sector Summary'!$B$1="Daily",F57/C57-1,IF('Sector Summary'!$B$1="Weekly",F57/D57-1,F57/E57-1)),"")</f>
        <v/>
      </c>
      <c r="H57" s="10" t="n">
        <f aca="false">IFERROR(SUMPRODUCT(($A$48:$A$58=A57)*($G$48:$G$58&gt;G57))+1,"")</f>
        <v>1</v>
      </c>
      <c r="I57" s="10" t="str">
        <f aca="false">A57&amp;"|"&amp;H57</f>
        <v>FMCG|1</v>
      </c>
    </row>
    <row r="58" customFormat="false" ht="15" hidden="false" customHeight="false" outlineLevel="0" collapsed="false">
      <c r="A58" s="7" t="s">
        <v>48</v>
      </c>
      <c r="B58" s="7" t="s">
        <v>121</v>
      </c>
      <c r="C58" s="8" t="n">
        <v>0</v>
      </c>
      <c r="D58" s="8" t="n">
        <v>0</v>
      </c>
      <c r="E58" s="8" t="n">
        <v>0</v>
      </c>
      <c r="F58" s="8" t="n">
        <v>0</v>
      </c>
      <c r="G58" s="9" t="str">
        <f aca="false">IFERROR(IF('Sector Summary'!$B$1="Daily",F58/C58-1,IF('Sector Summary'!$B$1="Weekly",F58/D58-1,F58/E58-1)),"")</f>
        <v/>
      </c>
      <c r="H58" s="10" t="n">
        <f aca="false">IFERROR(SUMPRODUCT(($A$48:$A$58=A58)*($G$48:$G$58&gt;G58))+1,"")</f>
        <v>1</v>
      </c>
      <c r="I58" s="10" t="str">
        <f aca="false">A58&amp;"|"&amp;H58</f>
        <v>FMCG|1</v>
      </c>
    </row>
    <row r="59" customFormat="false" ht="15" hidden="false" customHeight="false" outlineLevel="0" collapsed="false">
      <c r="A59" s="11" t="s">
        <v>50</v>
      </c>
      <c r="B59" s="11" t="s">
        <v>122</v>
      </c>
      <c r="C59" s="12" t="n">
        <v>0</v>
      </c>
      <c r="D59" s="12" t="n">
        <v>0</v>
      </c>
      <c r="E59" s="12" t="n">
        <v>0</v>
      </c>
      <c r="F59" s="12" t="n">
        <v>0</v>
      </c>
      <c r="G59" s="13" t="str">
        <f aca="false">IFERROR(IF('Sector Summary'!$B$1="Daily",F59/C59-1,IF('Sector Summary'!$B$1="Weekly",F59/D59-1,F59/E59-1)),"")</f>
        <v/>
      </c>
      <c r="H59" s="14" t="n">
        <f aca="false">IFERROR(SUMPRODUCT(($A$59:$A$68=A59)*($G$59:$G$68&gt;G59))+1,"")</f>
        <v>1</v>
      </c>
      <c r="I59" s="14" t="str">
        <f aca="false">A59&amp;"|"&amp;H59</f>
        <v>Metal|1</v>
      </c>
    </row>
    <row r="60" customFormat="false" ht="15" hidden="false" customHeight="false" outlineLevel="0" collapsed="false">
      <c r="A60" s="11" t="s">
        <v>50</v>
      </c>
      <c r="B60" s="11" t="s">
        <v>123</v>
      </c>
      <c r="C60" s="12" t="n">
        <v>0</v>
      </c>
      <c r="D60" s="12" t="n">
        <v>0</v>
      </c>
      <c r="E60" s="12" t="n">
        <v>0</v>
      </c>
      <c r="F60" s="12" t="n">
        <v>0</v>
      </c>
      <c r="G60" s="13" t="str">
        <f aca="false">IFERROR(IF('Sector Summary'!$B$1="Daily",F60/C60-1,IF('Sector Summary'!$B$1="Weekly",F60/D60-1,F60/E60-1)),"")</f>
        <v/>
      </c>
      <c r="H60" s="14" t="n">
        <f aca="false">IFERROR(SUMPRODUCT(($A$59:$A$68=A60)*($G$59:$G$68&gt;G60))+1,"")</f>
        <v>1</v>
      </c>
      <c r="I60" s="14" t="str">
        <f aca="false">A60&amp;"|"&amp;H60</f>
        <v>Metal|1</v>
      </c>
    </row>
    <row r="61" customFormat="false" ht="15" hidden="false" customHeight="false" outlineLevel="0" collapsed="false">
      <c r="A61" s="11" t="s">
        <v>50</v>
      </c>
      <c r="B61" s="11" t="s">
        <v>124</v>
      </c>
      <c r="C61" s="12" t="n">
        <v>0</v>
      </c>
      <c r="D61" s="12" t="n">
        <v>0</v>
      </c>
      <c r="E61" s="12" t="n">
        <v>0</v>
      </c>
      <c r="F61" s="12" t="n">
        <v>0</v>
      </c>
      <c r="G61" s="13" t="str">
        <f aca="false">IFERROR(IF('Sector Summary'!$B$1="Daily",F61/C61-1,IF('Sector Summary'!$B$1="Weekly",F61/D61-1,F61/E61-1)),"")</f>
        <v/>
      </c>
      <c r="H61" s="14" t="n">
        <f aca="false">IFERROR(SUMPRODUCT(($A$59:$A$68=A61)*($G$59:$G$68&gt;G61))+1,"")</f>
        <v>1</v>
      </c>
      <c r="I61" s="14" t="str">
        <f aca="false">A61&amp;"|"&amp;H61</f>
        <v>Metal|1</v>
      </c>
    </row>
    <row r="62" customFormat="false" ht="15" hidden="false" customHeight="false" outlineLevel="0" collapsed="false">
      <c r="A62" s="11" t="s">
        <v>50</v>
      </c>
      <c r="B62" s="11" t="s">
        <v>125</v>
      </c>
      <c r="C62" s="12" t="n">
        <v>0</v>
      </c>
      <c r="D62" s="12" t="n">
        <v>0</v>
      </c>
      <c r="E62" s="12" t="n">
        <v>0</v>
      </c>
      <c r="F62" s="12" t="n">
        <v>0</v>
      </c>
      <c r="G62" s="13" t="str">
        <f aca="false">IFERROR(IF('Sector Summary'!$B$1="Daily",F62/C62-1,IF('Sector Summary'!$B$1="Weekly",F62/D62-1,F62/E62-1)),"")</f>
        <v/>
      </c>
      <c r="H62" s="14" t="n">
        <f aca="false">IFERROR(SUMPRODUCT(($A$59:$A$68=A62)*($G$59:$G$68&gt;G62))+1,"")</f>
        <v>1</v>
      </c>
      <c r="I62" s="14" t="str">
        <f aca="false">A62&amp;"|"&amp;H62</f>
        <v>Metal|1</v>
      </c>
    </row>
    <row r="63" customFormat="false" ht="15" hidden="false" customHeight="false" outlineLevel="0" collapsed="false">
      <c r="A63" s="11" t="s">
        <v>50</v>
      </c>
      <c r="B63" s="11" t="s">
        <v>126</v>
      </c>
      <c r="C63" s="12" t="n">
        <v>0</v>
      </c>
      <c r="D63" s="12" t="n">
        <v>0</v>
      </c>
      <c r="E63" s="12" t="n">
        <v>0</v>
      </c>
      <c r="F63" s="12" t="n">
        <v>0</v>
      </c>
      <c r="G63" s="13" t="str">
        <f aca="false">IFERROR(IF('Sector Summary'!$B$1="Daily",F63/C63-1,IF('Sector Summary'!$B$1="Weekly",F63/D63-1,F63/E63-1)),"")</f>
        <v/>
      </c>
      <c r="H63" s="14" t="n">
        <f aca="false">IFERROR(SUMPRODUCT(($A$59:$A$68=A63)*($G$59:$G$68&gt;G63))+1,"")</f>
        <v>1</v>
      </c>
      <c r="I63" s="14" t="str">
        <f aca="false">A63&amp;"|"&amp;H63</f>
        <v>Metal|1</v>
      </c>
    </row>
    <row r="64" customFormat="false" ht="15" hidden="false" customHeight="false" outlineLevel="0" collapsed="false">
      <c r="A64" s="11" t="s">
        <v>50</v>
      </c>
      <c r="B64" s="11" t="s">
        <v>127</v>
      </c>
      <c r="C64" s="12" t="n">
        <v>0</v>
      </c>
      <c r="D64" s="12" t="n">
        <v>0</v>
      </c>
      <c r="E64" s="12" t="n">
        <v>0</v>
      </c>
      <c r="F64" s="12" t="n">
        <v>0</v>
      </c>
      <c r="G64" s="13" t="str">
        <f aca="false">IFERROR(IF('Sector Summary'!$B$1="Daily",F64/C64-1,IF('Sector Summary'!$B$1="Weekly",F64/D64-1,F64/E64-1)),"")</f>
        <v/>
      </c>
      <c r="H64" s="14" t="n">
        <f aca="false">IFERROR(SUMPRODUCT(($A$59:$A$68=A64)*($G$59:$G$68&gt;G64))+1,"")</f>
        <v>1</v>
      </c>
      <c r="I64" s="14" t="str">
        <f aca="false">A64&amp;"|"&amp;H64</f>
        <v>Metal|1</v>
      </c>
    </row>
    <row r="65" customFormat="false" ht="15" hidden="false" customHeight="false" outlineLevel="0" collapsed="false">
      <c r="A65" s="11" t="s">
        <v>50</v>
      </c>
      <c r="B65" s="11" t="s">
        <v>128</v>
      </c>
      <c r="C65" s="12" t="n">
        <v>0</v>
      </c>
      <c r="D65" s="12" t="n">
        <v>0</v>
      </c>
      <c r="E65" s="12" t="n">
        <v>0</v>
      </c>
      <c r="F65" s="12" t="n">
        <v>0</v>
      </c>
      <c r="G65" s="13" t="str">
        <f aca="false">IFERROR(IF('Sector Summary'!$B$1="Daily",F65/C65-1,IF('Sector Summary'!$B$1="Weekly",F65/D65-1,F65/E65-1)),"")</f>
        <v/>
      </c>
      <c r="H65" s="14" t="n">
        <f aca="false">IFERROR(SUMPRODUCT(($A$59:$A$68=A65)*($G$59:$G$68&gt;G65))+1,"")</f>
        <v>1</v>
      </c>
      <c r="I65" s="14" t="str">
        <f aca="false">A65&amp;"|"&amp;H65</f>
        <v>Metal|1</v>
      </c>
    </row>
    <row r="66" customFormat="false" ht="15" hidden="false" customHeight="false" outlineLevel="0" collapsed="false">
      <c r="A66" s="11" t="s">
        <v>50</v>
      </c>
      <c r="B66" s="11" t="s">
        <v>129</v>
      </c>
      <c r="C66" s="12" t="n">
        <v>0</v>
      </c>
      <c r="D66" s="12" t="n">
        <v>0</v>
      </c>
      <c r="E66" s="12" t="n">
        <v>0</v>
      </c>
      <c r="F66" s="12" t="n">
        <v>0</v>
      </c>
      <c r="G66" s="13" t="str">
        <f aca="false">IFERROR(IF('Sector Summary'!$B$1="Daily",F66/C66-1,IF('Sector Summary'!$B$1="Weekly",F66/D66-1,F66/E66-1)),"")</f>
        <v/>
      </c>
      <c r="H66" s="14" t="n">
        <f aca="false">IFERROR(SUMPRODUCT(($A$59:$A$68=A66)*($G$59:$G$68&gt;G66))+1,"")</f>
        <v>1</v>
      </c>
      <c r="I66" s="14" t="str">
        <f aca="false">A66&amp;"|"&amp;H66</f>
        <v>Metal|1</v>
      </c>
    </row>
    <row r="67" customFormat="false" ht="15" hidden="false" customHeight="false" outlineLevel="0" collapsed="false">
      <c r="A67" s="11" t="s">
        <v>50</v>
      </c>
      <c r="B67" s="11" t="s">
        <v>130</v>
      </c>
      <c r="C67" s="12" t="n">
        <v>0</v>
      </c>
      <c r="D67" s="12" t="n">
        <v>0</v>
      </c>
      <c r="E67" s="12" t="n">
        <v>0</v>
      </c>
      <c r="F67" s="12" t="n">
        <v>0</v>
      </c>
      <c r="G67" s="13" t="str">
        <f aca="false">IFERROR(IF('Sector Summary'!$B$1="Daily",F67/C67-1,IF('Sector Summary'!$B$1="Weekly",F67/D67-1,F67/E67-1)),"")</f>
        <v/>
      </c>
      <c r="H67" s="14" t="n">
        <f aca="false">IFERROR(SUMPRODUCT(($A$59:$A$68=A67)*($G$59:$G$68&gt;G67))+1,"")</f>
        <v>1</v>
      </c>
      <c r="I67" s="14" t="str">
        <f aca="false">A67&amp;"|"&amp;H67</f>
        <v>Metal|1</v>
      </c>
    </row>
    <row r="68" customFormat="false" ht="15" hidden="false" customHeight="false" outlineLevel="0" collapsed="false">
      <c r="A68" s="11" t="s">
        <v>50</v>
      </c>
      <c r="B68" s="11" t="s">
        <v>131</v>
      </c>
      <c r="C68" s="12" t="n">
        <v>0</v>
      </c>
      <c r="D68" s="12" t="n">
        <v>0</v>
      </c>
      <c r="E68" s="12" t="n">
        <v>0</v>
      </c>
      <c r="F68" s="12" t="n">
        <v>0</v>
      </c>
      <c r="G68" s="13" t="str">
        <f aca="false">IFERROR(IF('Sector Summary'!$B$1="Daily",F68/C68-1,IF('Sector Summary'!$B$1="Weekly",F68/D68-1,F68/E68-1)),"")</f>
        <v/>
      </c>
      <c r="H68" s="14" t="n">
        <f aca="false">IFERROR(SUMPRODUCT(($A$59:$A$68=A68)*($G$59:$G$68&gt;G68))+1,"")</f>
        <v>1</v>
      </c>
      <c r="I68" s="14" t="str">
        <f aca="false">A68&amp;"|"&amp;H68</f>
        <v>Metal|1</v>
      </c>
    </row>
    <row r="69" customFormat="false" ht="15" hidden="false" customHeight="false" outlineLevel="0" collapsed="false">
      <c r="A69" s="7" t="s">
        <v>52</v>
      </c>
      <c r="B69" s="7" t="s">
        <v>132</v>
      </c>
      <c r="C69" s="8" t="n">
        <v>0</v>
      </c>
      <c r="D69" s="8" t="n">
        <v>0</v>
      </c>
      <c r="E69" s="8" t="n">
        <v>0</v>
      </c>
      <c r="F69" s="8" t="n">
        <v>0</v>
      </c>
      <c r="G69" s="9" t="str">
        <f aca="false">IFERROR(IF('Sector Summary'!$B$1="Daily",F69/C69-1,IF('Sector Summary'!$B$1="Weekly",F69/D69-1,F69/E69-1)),"")</f>
        <v/>
      </c>
      <c r="H69" s="10" t="n">
        <f aca="false">IFERROR(SUMPRODUCT(($A$69:$A$78=A69)*($G$69:$G$78&gt;G69))+1,"")</f>
        <v>1</v>
      </c>
      <c r="I69" s="10" t="str">
        <f aca="false">A69&amp;"|"&amp;H69</f>
        <v>Energy|1</v>
      </c>
    </row>
    <row r="70" customFormat="false" ht="15" hidden="false" customHeight="false" outlineLevel="0" collapsed="false">
      <c r="A70" s="7" t="s">
        <v>52</v>
      </c>
      <c r="B70" s="7" t="s">
        <v>133</v>
      </c>
      <c r="C70" s="8" t="n">
        <v>0</v>
      </c>
      <c r="D70" s="8" t="n">
        <v>0</v>
      </c>
      <c r="E70" s="8" t="n">
        <v>0</v>
      </c>
      <c r="F70" s="8" t="n">
        <v>0</v>
      </c>
      <c r="G70" s="9" t="str">
        <f aca="false">IFERROR(IF('Sector Summary'!$B$1="Daily",F70/C70-1,IF('Sector Summary'!$B$1="Weekly",F70/D70-1,F70/E70-1)),"")</f>
        <v/>
      </c>
      <c r="H70" s="10" t="n">
        <f aca="false">IFERROR(SUMPRODUCT(($A$69:$A$78=A70)*($G$69:$G$78&gt;G70))+1,"")</f>
        <v>1</v>
      </c>
      <c r="I70" s="10" t="str">
        <f aca="false">A70&amp;"|"&amp;H70</f>
        <v>Energy|1</v>
      </c>
    </row>
    <row r="71" customFormat="false" ht="15" hidden="false" customHeight="false" outlineLevel="0" collapsed="false">
      <c r="A71" s="7" t="s">
        <v>52</v>
      </c>
      <c r="B71" s="7" t="s">
        <v>134</v>
      </c>
      <c r="C71" s="8" t="n">
        <v>0</v>
      </c>
      <c r="D71" s="8" t="n">
        <v>0</v>
      </c>
      <c r="E71" s="8" t="n">
        <v>0</v>
      </c>
      <c r="F71" s="8" t="n">
        <v>0</v>
      </c>
      <c r="G71" s="9" t="str">
        <f aca="false">IFERROR(IF('Sector Summary'!$B$1="Daily",F71/C71-1,IF('Sector Summary'!$B$1="Weekly",F71/D71-1,F71/E71-1)),"")</f>
        <v/>
      </c>
      <c r="H71" s="10" t="n">
        <f aca="false">IFERROR(SUMPRODUCT(($A$69:$A$78=A71)*($G$69:$G$78&gt;G71))+1,"")</f>
        <v>1</v>
      </c>
      <c r="I71" s="10" t="str">
        <f aca="false">A71&amp;"|"&amp;H71</f>
        <v>Energy|1</v>
      </c>
    </row>
    <row r="72" customFormat="false" ht="15" hidden="false" customHeight="false" outlineLevel="0" collapsed="false">
      <c r="A72" s="7" t="s">
        <v>52</v>
      </c>
      <c r="B72" s="7" t="s">
        <v>135</v>
      </c>
      <c r="C72" s="8" t="n">
        <v>0</v>
      </c>
      <c r="D72" s="8" t="n">
        <v>0</v>
      </c>
      <c r="E72" s="8" t="n">
        <v>0</v>
      </c>
      <c r="F72" s="8" t="n">
        <v>0</v>
      </c>
      <c r="G72" s="9" t="str">
        <f aca="false">IFERROR(IF('Sector Summary'!$B$1="Daily",F72/C72-1,IF('Sector Summary'!$B$1="Weekly",F72/D72-1,F72/E72-1)),"")</f>
        <v/>
      </c>
      <c r="H72" s="10" t="n">
        <f aca="false">IFERROR(SUMPRODUCT(($A$69:$A$78=A72)*($G$69:$G$78&gt;G72))+1,"")</f>
        <v>1</v>
      </c>
      <c r="I72" s="10" t="str">
        <f aca="false">A72&amp;"|"&amp;H72</f>
        <v>Energy|1</v>
      </c>
    </row>
    <row r="73" customFormat="false" ht="15" hidden="false" customHeight="false" outlineLevel="0" collapsed="false">
      <c r="A73" s="7" t="s">
        <v>52</v>
      </c>
      <c r="B73" s="7" t="s">
        <v>136</v>
      </c>
      <c r="C73" s="8" t="n">
        <v>0</v>
      </c>
      <c r="D73" s="8" t="n">
        <v>0</v>
      </c>
      <c r="E73" s="8" t="n">
        <v>0</v>
      </c>
      <c r="F73" s="8" t="n">
        <v>0</v>
      </c>
      <c r="G73" s="9" t="str">
        <f aca="false">IFERROR(IF('Sector Summary'!$B$1="Daily",F73/C73-1,IF('Sector Summary'!$B$1="Weekly",F73/D73-1,F73/E73-1)),"")</f>
        <v/>
      </c>
      <c r="H73" s="10" t="n">
        <f aca="false">IFERROR(SUMPRODUCT(($A$69:$A$78=A73)*($G$69:$G$78&gt;G73))+1,"")</f>
        <v>1</v>
      </c>
      <c r="I73" s="10" t="str">
        <f aca="false">A73&amp;"|"&amp;H73</f>
        <v>Energy|1</v>
      </c>
    </row>
    <row r="74" customFormat="false" ht="15" hidden="false" customHeight="false" outlineLevel="0" collapsed="false">
      <c r="A74" s="7" t="s">
        <v>52</v>
      </c>
      <c r="B74" s="7" t="s">
        <v>137</v>
      </c>
      <c r="C74" s="8" t="n">
        <v>0</v>
      </c>
      <c r="D74" s="8" t="n">
        <v>0</v>
      </c>
      <c r="E74" s="8" t="n">
        <v>0</v>
      </c>
      <c r="F74" s="8" t="n">
        <v>0</v>
      </c>
      <c r="G74" s="9" t="str">
        <f aca="false">IFERROR(IF('Sector Summary'!$B$1="Daily",F74/C74-1,IF('Sector Summary'!$B$1="Weekly",F74/D74-1,F74/E74-1)),"")</f>
        <v/>
      </c>
      <c r="H74" s="10" t="n">
        <f aca="false">IFERROR(SUMPRODUCT(($A$69:$A$78=A74)*($G$69:$G$78&gt;G74))+1,"")</f>
        <v>1</v>
      </c>
      <c r="I74" s="10" t="str">
        <f aca="false">A74&amp;"|"&amp;H74</f>
        <v>Energy|1</v>
      </c>
    </row>
    <row r="75" customFormat="false" ht="15" hidden="false" customHeight="false" outlineLevel="0" collapsed="false">
      <c r="A75" s="7" t="s">
        <v>52</v>
      </c>
      <c r="B75" s="7" t="s">
        <v>138</v>
      </c>
      <c r="C75" s="8" t="n">
        <v>0</v>
      </c>
      <c r="D75" s="8" t="n">
        <v>0</v>
      </c>
      <c r="E75" s="8" t="n">
        <v>0</v>
      </c>
      <c r="F75" s="8" t="n">
        <v>0</v>
      </c>
      <c r="G75" s="9" t="str">
        <f aca="false">IFERROR(IF('Sector Summary'!$B$1="Daily",F75/C75-1,IF('Sector Summary'!$B$1="Weekly",F75/D75-1,F75/E75-1)),"")</f>
        <v/>
      </c>
      <c r="H75" s="10" t="n">
        <f aca="false">IFERROR(SUMPRODUCT(($A$69:$A$78=A75)*($G$69:$G$78&gt;G75))+1,"")</f>
        <v>1</v>
      </c>
      <c r="I75" s="10" t="str">
        <f aca="false">A75&amp;"|"&amp;H75</f>
        <v>Energy|1</v>
      </c>
    </row>
    <row r="76" customFormat="false" ht="15" hidden="false" customHeight="false" outlineLevel="0" collapsed="false">
      <c r="A76" s="7" t="s">
        <v>52</v>
      </c>
      <c r="B76" s="7" t="s">
        <v>139</v>
      </c>
      <c r="C76" s="8" t="n">
        <v>0</v>
      </c>
      <c r="D76" s="8" t="n">
        <v>0</v>
      </c>
      <c r="E76" s="8" t="n">
        <v>0</v>
      </c>
      <c r="F76" s="8" t="n">
        <v>0</v>
      </c>
      <c r="G76" s="9" t="str">
        <f aca="false">IFERROR(IF('Sector Summary'!$B$1="Daily",F76/C76-1,IF('Sector Summary'!$B$1="Weekly",F76/D76-1,F76/E76-1)),"")</f>
        <v/>
      </c>
      <c r="H76" s="10" t="n">
        <f aca="false">IFERROR(SUMPRODUCT(($A$69:$A$78=A76)*($G$69:$G$78&gt;G76))+1,"")</f>
        <v>1</v>
      </c>
      <c r="I76" s="10" t="str">
        <f aca="false">A76&amp;"|"&amp;H76</f>
        <v>Energy|1</v>
      </c>
    </row>
    <row r="77" customFormat="false" ht="15" hidden="false" customHeight="false" outlineLevel="0" collapsed="false">
      <c r="A77" s="7" t="s">
        <v>52</v>
      </c>
      <c r="B77" s="7" t="s">
        <v>140</v>
      </c>
      <c r="C77" s="8" t="n">
        <v>0</v>
      </c>
      <c r="D77" s="8" t="n">
        <v>0</v>
      </c>
      <c r="E77" s="8" t="n">
        <v>0</v>
      </c>
      <c r="F77" s="8" t="n">
        <v>0</v>
      </c>
      <c r="G77" s="9" t="str">
        <f aca="false">IFERROR(IF('Sector Summary'!$B$1="Daily",F77/C77-1,IF('Sector Summary'!$B$1="Weekly",F77/D77-1,F77/E77-1)),"")</f>
        <v/>
      </c>
      <c r="H77" s="10" t="n">
        <f aca="false">IFERROR(SUMPRODUCT(($A$69:$A$78=A77)*($G$69:$G$78&gt;G77))+1,"")</f>
        <v>1</v>
      </c>
      <c r="I77" s="10" t="str">
        <f aca="false">A77&amp;"|"&amp;H77</f>
        <v>Energy|1</v>
      </c>
    </row>
    <row r="78" customFormat="false" ht="15" hidden="false" customHeight="false" outlineLevel="0" collapsed="false">
      <c r="A78" s="7" t="s">
        <v>52</v>
      </c>
      <c r="B78" s="7" t="s">
        <v>141</v>
      </c>
      <c r="C78" s="8" t="n">
        <v>0</v>
      </c>
      <c r="D78" s="8" t="n">
        <v>0</v>
      </c>
      <c r="E78" s="8" t="n">
        <v>0</v>
      </c>
      <c r="F78" s="8" t="n">
        <v>0</v>
      </c>
      <c r="G78" s="9" t="str">
        <f aca="false">IFERROR(IF('Sector Summary'!$B$1="Daily",F78/C78-1,IF('Sector Summary'!$B$1="Weekly",F78/D78-1,F78/E78-1)),"")</f>
        <v/>
      </c>
      <c r="H78" s="10" t="n">
        <f aca="false">IFERROR(SUMPRODUCT(($A$69:$A$78=A78)*($G$69:$G$78&gt;G78))+1,"")</f>
        <v>1</v>
      </c>
      <c r="I78" s="10" t="str">
        <f aca="false">A78&amp;"|"&amp;H78</f>
        <v>Energy|1</v>
      </c>
    </row>
    <row r="79" customFormat="false" ht="15" hidden="false" customHeight="false" outlineLevel="0" collapsed="false">
      <c r="A79" s="11" t="s">
        <v>54</v>
      </c>
      <c r="B79" s="11" t="s">
        <v>142</v>
      </c>
      <c r="C79" s="12" t="n">
        <v>0</v>
      </c>
      <c r="D79" s="12" t="n">
        <v>0</v>
      </c>
      <c r="E79" s="12" t="n">
        <v>0</v>
      </c>
      <c r="F79" s="12" t="n">
        <v>0</v>
      </c>
      <c r="G79" s="13" t="str">
        <f aca="false">IFERROR(IF('Sector Summary'!$B$1="Daily",F79/C79-1,IF('Sector Summary'!$B$1="Weekly",F79/D79-1,F79/E79-1)),"")</f>
        <v/>
      </c>
      <c r="H79" s="14" t="n">
        <f aca="false">IFERROR(SUMPRODUCT(($A$79:$A$86=A79)*($G$79:$G$86&gt;G79))+1,"")</f>
        <v>1</v>
      </c>
      <c r="I79" s="14" t="str">
        <f aca="false">A79&amp;"|"&amp;H79</f>
        <v>Realty|1</v>
      </c>
    </row>
    <row r="80" customFormat="false" ht="15" hidden="false" customHeight="false" outlineLevel="0" collapsed="false">
      <c r="A80" s="11" t="s">
        <v>54</v>
      </c>
      <c r="B80" s="11" t="s">
        <v>143</v>
      </c>
      <c r="C80" s="12" t="n">
        <v>0</v>
      </c>
      <c r="D80" s="12" t="n">
        <v>0</v>
      </c>
      <c r="E80" s="12" t="n">
        <v>0</v>
      </c>
      <c r="F80" s="12" t="n">
        <v>0</v>
      </c>
      <c r="G80" s="13" t="str">
        <f aca="false">IFERROR(IF('Sector Summary'!$B$1="Daily",F80/C80-1,IF('Sector Summary'!$B$1="Weekly",F80/D80-1,F80/E80-1)),"")</f>
        <v/>
      </c>
      <c r="H80" s="14" t="n">
        <f aca="false">IFERROR(SUMPRODUCT(($A$79:$A$86=A80)*($G$79:$G$86&gt;G80))+1,"")</f>
        <v>1</v>
      </c>
      <c r="I80" s="14" t="str">
        <f aca="false">A80&amp;"|"&amp;H80</f>
        <v>Realty|1</v>
      </c>
    </row>
    <row r="81" customFormat="false" ht="15" hidden="false" customHeight="false" outlineLevel="0" collapsed="false">
      <c r="A81" s="11" t="s">
        <v>54</v>
      </c>
      <c r="B81" s="11" t="s">
        <v>144</v>
      </c>
      <c r="C81" s="12" t="n">
        <v>0</v>
      </c>
      <c r="D81" s="12" t="n">
        <v>0</v>
      </c>
      <c r="E81" s="12" t="n">
        <v>0</v>
      </c>
      <c r="F81" s="12" t="n">
        <v>0</v>
      </c>
      <c r="G81" s="13" t="str">
        <f aca="false">IFERROR(IF('Sector Summary'!$B$1="Daily",F81/C81-1,IF('Sector Summary'!$B$1="Weekly",F81/D81-1,F81/E81-1)),"")</f>
        <v/>
      </c>
      <c r="H81" s="14" t="n">
        <f aca="false">IFERROR(SUMPRODUCT(($A$79:$A$86=A81)*($G$79:$G$86&gt;G81))+1,"")</f>
        <v>1</v>
      </c>
      <c r="I81" s="14" t="str">
        <f aca="false">A81&amp;"|"&amp;H81</f>
        <v>Realty|1</v>
      </c>
    </row>
    <row r="82" customFormat="false" ht="15" hidden="false" customHeight="false" outlineLevel="0" collapsed="false">
      <c r="A82" s="11" t="s">
        <v>54</v>
      </c>
      <c r="B82" s="11" t="s">
        <v>145</v>
      </c>
      <c r="C82" s="12" t="n">
        <v>0</v>
      </c>
      <c r="D82" s="12" t="n">
        <v>0</v>
      </c>
      <c r="E82" s="12" t="n">
        <v>0</v>
      </c>
      <c r="F82" s="12" t="n">
        <v>0</v>
      </c>
      <c r="G82" s="13" t="str">
        <f aca="false">IFERROR(IF('Sector Summary'!$B$1="Daily",F82/C82-1,IF('Sector Summary'!$B$1="Weekly",F82/D82-1,F82/E82-1)),"")</f>
        <v/>
      </c>
      <c r="H82" s="14" t="n">
        <f aca="false">IFERROR(SUMPRODUCT(($A$79:$A$86=A82)*($G$79:$G$86&gt;G82))+1,"")</f>
        <v>1</v>
      </c>
      <c r="I82" s="14" t="str">
        <f aca="false">A82&amp;"|"&amp;H82</f>
        <v>Realty|1</v>
      </c>
    </row>
    <row r="83" customFormat="false" ht="15" hidden="false" customHeight="false" outlineLevel="0" collapsed="false">
      <c r="A83" s="11" t="s">
        <v>54</v>
      </c>
      <c r="B83" s="11" t="s">
        <v>146</v>
      </c>
      <c r="C83" s="12" t="n">
        <v>0</v>
      </c>
      <c r="D83" s="12" t="n">
        <v>0</v>
      </c>
      <c r="E83" s="12" t="n">
        <v>0</v>
      </c>
      <c r="F83" s="12" t="n">
        <v>0</v>
      </c>
      <c r="G83" s="13" t="str">
        <f aca="false">IFERROR(IF('Sector Summary'!$B$1="Daily",F83/C83-1,IF('Sector Summary'!$B$1="Weekly",F83/D83-1,F83/E83-1)),"")</f>
        <v/>
      </c>
      <c r="H83" s="14" t="n">
        <f aca="false">IFERROR(SUMPRODUCT(($A$79:$A$86=A83)*($G$79:$G$86&gt;G83))+1,"")</f>
        <v>1</v>
      </c>
      <c r="I83" s="14" t="str">
        <f aca="false">A83&amp;"|"&amp;H83</f>
        <v>Realty|1</v>
      </c>
    </row>
    <row r="84" customFormat="false" ht="15" hidden="false" customHeight="false" outlineLevel="0" collapsed="false">
      <c r="A84" s="11" t="s">
        <v>54</v>
      </c>
      <c r="B84" s="11" t="s">
        <v>147</v>
      </c>
      <c r="C84" s="12" t="n">
        <v>0</v>
      </c>
      <c r="D84" s="12" t="n">
        <v>0</v>
      </c>
      <c r="E84" s="12" t="n">
        <v>0</v>
      </c>
      <c r="F84" s="12" t="n">
        <v>0</v>
      </c>
      <c r="G84" s="13" t="str">
        <f aca="false">IFERROR(IF('Sector Summary'!$B$1="Daily",F84/C84-1,IF('Sector Summary'!$B$1="Weekly",F84/D84-1,F84/E84-1)),"")</f>
        <v/>
      </c>
      <c r="H84" s="14" t="n">
        <f aca="false">IFERROR(SUMPRODUCT(($A$79:$A$86=A84)*($G$79:$G$86&gt;G84))+1,"")</f>
        <v>1</v>
      </c>
      <c r="I84" s="14" t="str">
        <f aca="false">A84&amp;"|"&amp;H84</f>
        <v>Realty|1</v>
      </c>
    </row>
    <row r="85" customFormat="false" ht="15" hidden="false" customHeight="false" outlineLevel="0" collapsed="false">
      <c r="A85" s="11" t="s">
        <v>54</v>
      </c>
      <c r="B85" s="11" t="s">
        <v>148</v>
      </c>
      <c r="C85" s="12" t="n">
        <v>0</v>
      </c>
      <c r="D85" s="12" t="n">
        <v>0</v>
      </c>
      <c r="E85" s="12" t="n">
        <v>0</v>
      </c>
      <c r="F85" s="12" t="n">
        <v>0</v>
      </c>
      <c r="G85" s="13" t="str">
        <f aca="false">IFERROR(IF('Sector Summary'!$B$1="Daily",F85/C85-1,IF('Sector Summary'!$B$1="Weekly",F85/D85-1,F85/E85-1)),"")</f>
        <v/>
      </c>
      <c r="H85" s="14" t="n">
        <f aca="false">IFERROR(SUMPRODUCT(($A$79:$A$86=A85)*($G$79:$G$86&gt;G85))+1,"")</f>
        <v>1</v>
      </c>
      <c r="I85" s="14" t="str">
        <f aca="false">A85&amp;"|"&amp;H85</f>
        <v>Realty|1</v>
      </c>
    </row>
    <row r="86" customFormat="false" ht="15" hidden="false" customHeight="false" outlineLevel="0" collapsed="false">
      <c r="A86" s="11" t="s">
        <v>54</v>
      </c>
      <c r="B86" s="11" t="s">
        <v>149</v>
      </c>
      <c r="C86" s="12" t="n">
        <v>0</v>
      </c>
      <c r="D86" s="12" t="n">
        <v>0</v>
      </c>
      <c r="E86" s="12" t="n">
        <v>0</v>
      </c>
      <c r="F86" s="12" t="n">
        <v>0</v>
      </c>
      <c r="G86" s="13" t="str">
        <f aca="false">IFERROR(IF('Sector Summary'!$B$1="Daily",F86/C86-1,IF('Sector Summary'!$B$1="Weekly",F86/D86-1,F86/E86-1)),"")</f>
        <v/>
      </c>
      <c r="H86" s="14" t="n">
        <f aca="false">IFERROR(SUMPRODUCT(($A$79:$A$86=A86)*($G$79:$G$86&gt;G86))+1,"")</f>
        <v>1</v>
      </c>
      <c r="I86" s="14" t="str">
        <f aca="false">A86&amp;"|"&amp;H86</f>
        <v>Realty|1</v>
      </c>
    </row>
    <row r="87" customFormat="false" ht="15" hidden="false" customHeight="false" outlineLevel="0" collapsed="false">
      <c r="A87" s="7" t="s">
        <v>56</v>
      </c>
      <c r="B87" s="7" t="s">
        <v>150</v>
      </c>
      <c r="C87" s="8" t="n">
        <v>0</v>
      </c>
      <c r="D87" s="8" t="n">
        <v>0</v>
      </c>
      <c r="E87" s="8" t="n">
        <v>0</v>
      </c>
      <c r="F87" s="8" t="n">
        <v>0</v>
      </c>
      <c r="G87" s="9" t="str">
        <f aca="false">IFERROR(IF('Sector Summary'!$B$1="Daily",F87/C87-1,IF('Sector Summary'!$B$1="Weekly",F87/D87-1,F87/E87-1)),"")</f>
        <v/>
      </c>
      <c r="H87" s="10" t="n">
        <f aca="false">IFERROR(SUMPRODUCT(($A$87:$A$93=A87)*($G$87:$G$93&gt;G87))+1,"")</f>
        <v>1</v>
      </c>
      <c r="I87" s="10" t="str">
        <f aca="false">A87&amp;"|"&amp;H87</f>
        <v>Media|1</v>
      </c>
    </row>
    <row r="88" customFormat="false" ht="15" hidden="false" customHeight="false" outlineLevel="0" collapsed="false">
      <c r="A88" s="7" t="s">
        <v>56</v>
      </c>
      <c r="B88" s="7" t="s">
        <v>151</v>
      </c>
      <c r="C88" s="8" t="n">
        <v>0</v>
      </c>
      <c r="D88" s="8" t="n">
        <v>0</v>
      </c>
      <c r="E88" s="8" t="n">
        <v>0</v>
      </c>
      <c r="F88" s="8" t="n">
        <v>0</v>
      </c>
      <c r="G88" s="9" t="str">
        <f aca="false">IFERROR(IF('Sector Summary'!$B$1="Daily",F88/C88-1,IF('Sector Summary'!$B$1="Weekly",F88/D88-1,F88/E88-1)),"")</f>
        <v/>
      </c>
      <c r="H88" s="10" t="n">
        <f aca="false">IFERROR(SUMPRODUCT(($A$87:$A$93=A88)*($G$87:$G$93&gt;G88))+1,"")</f>
        <v>1</v>
      </c>
      <c r="I88" s="10" t="str">
        <f aca="false">A88&amp;"|"&amp;H88</f>
        <v>Media|1</v>
      </c>
    </row>
    <row r="89" customFormat="false" ht="15" hidden="false" customHeight="false" outlineLevel="0" collapsed="false">
      <c r="A89" s="7" t="s">
        <v>56</v>
      </c>
      <c r="B89" s="7" t="s">
        <v>152</v>
      </c>
      <c r="C89" s="8" t="n">
        <v>0</v>
      </c>
      <c r="D89" s="8" t="n">
        <v>0</v>
      </c>
      <c r="E89" s="8" t="n">
        <v>0</v>
      </c>
      <c r="F89" s="8" t="n">
        <v>0</v>
      </c>
      <c r="G89" s="9" t="str">
        <f aca="false">IFERROR(IF('Sector Summary'!$B$1="Daily",F89/C89-1,IF('Sector Summary'!$B$1="Weekly",F89/D89-1,F89/E89-1)),"")</f>
        <v/>
      </c>
      <c r="H89" s="10" t="n">
        <f aca="false">IFERROR(SUMPRODUCT(($A$87:$A$93=A89)*($G$87:$G$93&gt;G89))+1,"")</f>
        <v>1</v>
      </c>
      <c r="I89" s="10" t="str">
        <f aca="false">A89&amp;"|"&amp;H89</f>
        <v>Media|1</v>
      </c>
    </row>
    <row r="90" customFormat="false" ht="15" hidden="false" customHeight="false" outlineLevel="0" collapsed="false">
      <c r="A90" s="7" t="s">
        <v>56</v>
      </c>
      <c r="B90" s="7" t="s">
        <v>153</v>
      </c>
      <c r="C90" s="8" t="n">
        <v>0</v>
      </c>
      <c r="D90" s="8" t="n">
        <v>0</v>
      </c>
      <c r="E90" s="8" t="n">
        <v>0</v>
      </c>
      <c r="F90" s="8" t="n">
        <v>0</v>
      </c>
      <c r="G90" s="9" t="str">
        <f aca="false">IFERROR(IF('Sector Summary'!$B$1="Daily",F90/C90-1,IF('Sector Summary'!$B$1="Weekly",F90/D90-1,F90/E90-1)),"")</f>
        <v/>
      </c>
      <c r="H90" s="10" t="n">
        <f aca="false">IFERROR(SUMPRODUCT(($A$87:$A$93=A90)*($G$87:$G$93&gt;G90))+1,"")</f>
        <v>1</v>
      </c>
      <c r="I90" s="10" t="str">
        <f aca="false">A90&amp;"|"&amp;H90</f>
        <v>Media|1</v>
      </c>
    </row>
    <row r="91" customFormat="false" ht="15" hidden="false" customHeight="false" outlineLevel="0" collapsed="false">
      <c r="A91" s="7" t="s">
        <v>56</v>
      </c>
      <c r="B91" s="7" t="s">
        <v>154</v>
      </c>
      <c r="C91" s="8" t="n">
        <v>0</v>
      </c>
      <c r="D91" s="8" t="n">
        <v>0</v>
      </c>
      <c r="E91" s="8" t="n">
        <v>0</v>
      </c>
      <c r="F91" s="8" t="n">
        <v>0</v>
      </c>
      <c r="G91" s="9" t="str">
        <f aca="false">IFERROR(IF('Sector Summary'!$B$1="Daily",F91/C91-1,IF('Sector Summary'!$B$1="Weekly",F91/D91-1,F91/E91-1)),"")</f>
        <v/>
      </c>
      <c r="H91" s="10" t="n">
        <f aca="false">IFERROR(SUMPRODUCT(($A$87:$A$93=A91)*($G$87:$G$93&gt;G91))+1,"")</f>
        <v>1</v>
      </c>
      <c r="I91" s="10" t="str">
        <f aca="false">A91&amp;"|"&amp;H91</f>
        <v>Media|1</v>
      </c>
    </row>
    <row r="92" customFormat="false" ht="15" hidden="false" customHeight="false" outlineLevel="0" collapsed="false">
      <c r="A92" s="7" t="s">
        <v>56</v>
      </c>
      <c r="B92" s="7" t="s">
        <v>155</v>
      </c>
      <c r="C92" s="8" t="n">
        <v>0</v>
      </c>
      <c r="D92" s="8" t="n">
        <v>0</v>
      </c>
      <c r="E92" s="8" t="n">
        <v>0</v>
      </c>
      <c r="F92" s="8" t="n">
        <v>0</v>
      </c>
      <c r="G92" s="9" t="str">
        <f aca="false">IFERROR(IF('Sector Summary'!$B$1="Daily",F92/C92-1,IF('Sector Summary'!$B$1="Weekly",F92/D92-1,F92/E92-1)),"")</f>
        <v/>
      </c>
      <c r="H92" s="10" t="n">
        <f aca="false">IFERROR(SUMPRODUCT(($A$87:$A$93=A92)*($G$87:$G$93&gt;G92))+1,"")</f>
        <v>1</v>
      </c>
      <c r="I92" s="10" t="str">
        <f aca="false">A92&amp;"|"&amp;H92</f>
        <v>Media|1</v>
      </c>
    </row>
    <row r="93" customFormat="false" ht="15" hidden="false" customHeight="false" outlineLevel="0" collapsed="false">
      <c r="A93" s="7" t="s">
        <v>56</v>
      </c>
      <c r="B93" s="7" t="s">
        <v>156</v>
      </c>
      <c r="C93" s="8" t="n">
        <v>0</v>
      </c>
      <c r="D93" s="8" t="n">
        <v>0</v>
      </c>
      <c r="E93" s="8" t="n">
        <v>0</v>
      </c>
      <c r="F93" s="8" t="n">
        <v>0</v>
      </c>
      <c r="G93" s="9" t="str">
        <f aca="false">IFERROR(IF('Sector Summary'!$B$1="Daily",F93/C93-1,IF('Sector Summary'!$B$1="Weekly",F93/D93-1,F93/E93-1)),"")</f>
        <v/>
      </c>
      <c r="H93" s="10" t="n">
        <f aca="false">IFERROR(SUMPRODUCT(($A$87:$A$93=A93)*($G$87:$G$93&gt;G93))+1,"")</f>
        <v>1</v>
      </c>
      <c r="I93" s="10" t="str">
        <f aca="false">A93&amp;"|"&amp;H93</f>
        <v>Media|1</v>
      </c>
    </row>
    <row r="94" customFormat="false" ht="15" hidden="false" customHeight="false" outlineLevel="0" collapsed="false">
      <c r="A94" s="11" t="s">
        <v>58</v>
      </c>
      <c r="B94" s="11" t="s">
        <v>67</v>
      </c>
      <c r="C94" s="12" t="n">
        <v>0</v>
      </c>
      <c r="D94" s="12" t="n">
        <v>0</v>
      </c>
      <c r="E94" s="12" t="n">
        <v>0</v>
      </c>
      <c r="F94" s="12" t="n">
        <v>0</v>
      </c>
      <c r="G94" s="13" t="str">
        <f aca="false">IFERROR(IF('Sector Summary'!$B$1="Daily",F94/C94-1,IF('Sector Summary'!$B$1="Weekly",F94/D94-1,F94/E94-1)),"")</f>
        <v/>
      </c>
      <c r="H94" s="14" t="n">
        <f aca="false">IFERROR(SUMPRODUCT(($A$94:$A$104=A94)*($G$94:$G$104&gt;G94))+1,"")</f>
        <v>1</v>
      </c>
      <c r="I94" s="14" t="str">
        <f aca="false">A94&amp;"|"&amp;H94</f>
        <v>PSU Bank|1</v>
      </c>
    </row>
    <row r="95" customFormat="false" ht="15" hidden="false" customHeight="false" outlineLevel="0" collapsed="false">
      <c r="A95" s="11" t="s">
        <v>58</v>
      </c>
      <c r="B95" s="11" t="s">
        <v>71</v>
      </c>
      <c r="C95" s="12" t="n">
        <v>0</v>
      </c>
      <c r="D95" s="12" t="n">
        <v>0</v>
      </c>
      <c r="E95" s="12" t="n">
        <v>0</v>
      </c>
      <c r="F95" s="12" t="n">
        <v>0</v>
      </c>
      <c r="G95" s="13" t="str">
        <f aca="false">IFERROR(IF('Sector Summary'!$B$1="Daily",F95/C95-1,IF('Sector Summary'!$B$1="Weekly",F95/D95-1,F95/E95-1)),"")</f>
        <v/>
      </c>
      <c r="H95" s="14" t="n">
        <f aca="false">IFERROR(SUMPRODUCT(($A$94:$A$104=A95)*($G$94:$G$104&gt;G95))+1,"")</f>
        <v>1</v>
      </c>
      <c r="I95" s="14" t="str">
        <f aca="false">A95&amp;"|"&amp;H95</f>
        <v>PSU Bank|1</v>
      </c>
    </row>
    <row r="96" customFormat="false" ht="15" hidden="false" customHeight="false" outlineLevel="0" collapsed="false">
      <c r="A96" s="11" t="s">
        <v>58</v>
      </c>
      <c r="B96" s="11" t="s">
        <v>72</v>
      </c>
      <c r="C96" s="12" t="n">
        <v>0</v>
      </c>
      <c r="D96" s="12" t="n">
        <v>0</v>
      </c>
      <c r="E96" s="12" t="n">
        <v>0</v>
      </c>
      <c r="F96" s="12" t="n">
        <v>0</v>
      </c>
      <c r="G96" s="13" t="str">
        <f aca="false">IFERROR(IF('Sector Summary'!$B$1="Daily",F96/C96-1,IF('Sector Summary'!$B$1="Weekly",F96/D96-1,F96/E96-1)),"")</f>
        <v/>
      </c>
      <c r="H96" s="14" t="n">
        <f aca="false">IFERROR(SUMPRODUCT(($A$94:$A$104=A96)*($G$94:$G$104&gt;G96))+1,"")</f>
        <v>1</v>
      </c>
      <c r="I96" s="14" t="str">
        <f aca="false">A96&amp;"|"&amp;H96</f>
        <v>PSU Bank|1</v>
      </c>
    </row>
    <row r="97" customFormat="false" ht="15" hidden="false" customHeight="false" outlineLevel="0" collapsed="false">
      <c r="A97" s="11" t="s">
        <v>58</v>
      </c>
      <c r="B97" s="11" t="s">
        <v>76</v>
      </c>
      <c r="C97" s="12" t="n">
        <v>0</v>
      </c>
      <c r="D97" s="12" t="n">
        <v>0</v>
      </c>
      <c r="E97" s="12" t="n">
        <v>0</v>
      </c>
      <c r="F97" s="12" t="n">
        <v>0</v>
      </c>
      <c r="G97" s="13" t="str">
        <f aca="false">IFERROR(IF('Sector Summary'!$B$1="Daily",F97/C97-1,IF('Sector Summary'!$B$1="Weekly",F97/D97-1,F97/E97-1)),"")</f>
        <v/>
      </c>
      <c r="H97" s="14" t="n">
        <f aca="false">IFERROR(SUMPRODUCT(($A$94:$A$104=A97)*($G$94:$G$104&gt;G97))+1,"")</f>
        <v>1</v>
      </c>
      <c r="I97" s="14" t="str">
        <f aca="false">A97&amp;"|"&amp;H97</f>
        <v>PSU Bank|1</v>
      </c>
    </row>
    <row r="98" customFormat="false" ht="15" hidden="false" customHeight="false" outlineLevel="0" collapsed="false">
      <c r="A98" s="11" t="s">
        <v>58</v>
      </c>
      <c r="B98" s="11" t="s">
        <v>157</v>
      </c>
      <c r="C98" s="12" t="n">
        <v>0</v>
      </c>
      <c r="D98" s="12" t="n">
        <v>0</v>
      </c>
      <c r="E98" s="12" t="n">
        <v>0</v>
      </c>
      <c r="F98" s="12" t="n">
        <v>0</v>
      </c>
      <c r="G98" s="13" t="str">
        <f aca="false">IFERROR(IF('Sector Summary'!$B$1="Daily",F98/C98-1,IF('Sector Summary'!$B$1="Weekly",F98/D98-1,F98/E98-1)),"")</f>
        <v/>
      </c>
      <c r="H98" s="14" t="n">
        <f aca="false">IFERROR(SUMPRODUCT(($A$94:$A$104=A98)*($G$94:$G$104&gt;G98))+1,"")</f>
        <v>1</v>
      </c>
      <c r="I98" s="14" t="str">
        <f aca="false">A98&amp;"|"&amp;H98</f>
        <v>PSU Bank|1</v>
      </c>
    </row>
    <row r="99" customFormat="false" ht="15" hidden="false" customHeight="false" outlineLevel="0" collapsed="false">
      <c r="A99" s="11" t="s">
        <v>58</v>
      </c>
      <c r="B99" s="11" t="s">
        <v>158</v>
      </c>
      <c r="C99" s="12" t="n">
        <v>0</v>
      </c>
      <c r="D99" s="12" t="n">
        <v>0</v>
      </c>
      <c r="E99" s="12" t="n">
        <v>0</v>
      </c>
      <c r="F99" s="12" t="n">
        <v>0</v>
      </c>
      <c r="G99" s="13" t="str">
        <f aca="false">IFERROR(IF('Sector Summary'!$B$1="Daily",F99/C99-1,IF('Sector Summary'!$B$1="Weekly",F99/D99-1,F99/E99-1)),"")</f>
        <v/>
      </c>
      <c r="H99" s="14" t="n">
        <f aca="false">IFERROR(SUMPRODUCT(($A$94:$A$104=A99)*($G$94:$G$104&gt;G99))+1,"")</f>
        <v>1</v>
      </c>
      <c r="I99" s="14" t="str">
        <f aca="false">A99&amp;"|"&amp;H99</f>
        <v>PSU Bank|1</v>
      </c>
    </row>
    <row r="100" customFormat="false" ht="15" hidden="false" customHeight="false" outlineLevel="0" collapsed="false">
      <c r="A100" s="11" t="s">
        <v>58</v>
      </c>
      <c r="B100" s="11" t="s">
        <v>159</v>
      </c>
      <c r="C100" s="12" t="n">
        <v>0</v>
      </c>
      <c r="D100" s="12" t="n">
        <v>0</v>
      </c>
      <c r="E100" s="12" t="n">
        <v>0</v>
      </c>
      <c r="F100" s="12" t="n">
        <v>0</v>
      </c>
      <c r="G100" s="13" t="str">
        <f aca="false">IFERROR(IF('Sector Summary'!$B$1="Daily",F100/C100-1,IF('Sector Summary'!$B$1="Weekly",F100/D100-1,F100/E100-1)),"")</f>
        <v/>
      </c>
      <c r="H100" s="14" t="n">
        <f aca="false">IFERROR(SUMPRODUCT(($A$94:$A$104=A100)*($G$94:$G$104&gt;G100))+1,"")</f>
        <v>1</v>
      </c>
      <c r="I100" s="14" t="str">
        <f aca="false">A100&amp;"|"&amp;H100</f>
        <v>PSU Bank|1</v>
      </c>
    </row>
    <row r="101" customFormat="false" ht="15" hidden="false" customHeight="false" outlineLevel="0" collapsed="false">
      <c r="A101" s="11" t="s">
        <v>58</v>
      </c>
      <c r="B101" s="11" t="s">
        <v>160</v>
      </c>
      <c r="C101" s="12" t="n">
        <v>0</v>
      </c>
      <c r="D101" s="12" t="n">
        <v>0</v>
      </c>
      <c r="E101" s="12" t="n">
        <v>0</v>
      </c>
      <c r="F101" s="12" t="n">
        <v>0</v>
      </c>
      <c r="G101" s="13" t="str">
        <f aca="false">IFERROR(IF('Sector Summary'!$B$1="Daily",F101/C101-1,IF('Sector Summary'!$B$1="Weekly",F101/D101-1,F101/E101-1)),"")</f>
        <v/>
      </c>
      <c r="H101" s="14" t="n">
        <f aca="false">IFERROR(SUMPRODUCT(($A$94:$A$104=A101)*($G$94:$G$104&gt;G101))+1,"")</f>
        <v>1</v>
      </c>
      <c r="I101" s="14" t="str">
        <f aca="false">A101&amp;"|"&amp;H101</f>
        <v>PSU Bank|1</v>
      </c>
    </row>
    <row r="102" customFormat="false" ht="15" hidden="false" customHeight="false" outlineLevel="0" collapsed="false">
      <c r="A102" s="11" t="s">
        <v>58</v>
      </c>
      <c r="B102" s="11" t="s">
        <v>161</v>
      </c>
      <c r="C102" s="12" t="n">
        <v>0</v>
      </c>
      <c r="D102" s="12" t="n">
        <v>0</v>
      </c>
      <c r="E102" s="12" t="n">
        <v>0</v>
      </c>
      <c r="F102" s="12" t="n">
        <v>0</v>
      </c>
      <c r="G102" s="13" t="str">
        <f aca="false">IFERROR(IF('Sector Summary'!$B$1="Daily",F102/C102-1,IF('Sector Summary'!$B$1="Weekly",F102/D102-1,F102/E102-1)),"")</f>
        <v/>
      </c>
      <c r="H102" s="14" t="n">
        <f aca="false">IFERROR(SUMPRODUCT(($A$94:$A$104=A102)*($G$94:$G$104&gt;G102))+1,"")</f>
        <v>1</v>
      </c>
      <c r="I102" s="14" t="str">
        <f aca="false">A102&amp;"|"&amp;H102</f>
        <v>PSU Bank|1</v>
      </c>
    </row>
    <row r="103" customFormat="false" ht="15" hidden="false" customHeight="false" outlineLevel="0" collapsed="false">
      <c r="A103" s="11" t="s">
        <v>58</v>
      </c>
      <c r="B103" s="11" t="s">
        <v>162</v>
      </c>
      <c r="C103" s="12" t="n">
        <v>0</v>
      </c>
      <c r="D103" s="12" t="n">
        <v>0</v>
      </c>
      <c r="E103" s="12" t="n">
        <v>0</v>
      </c>
      <c r="F103" s="12" t="n">
        <v>0</v>
      </c>
      <c r="G103" s="13" t="str">
        <f aca="false">IFERROR(IF('Sector Summary'!$B$1="Daily",F103/C103-1,IF('Sector Summary'!$B$1="Weekly",F103/D103-1,F103/E103-1)),"")</f>
        <v/>
      </c>
      <c r="H103" s="14" t="n">
        <f aca="false">IFERROR(SUMPRODUCT(($A$94:$A$104=A103)*($G$94:$G$104&gt;G103))+1,"")</f>
        <v>1</v>
      </c>
      <c r="I103" s="14" t="str">
        <f aca="false">A103&amp;"|"&amp;H103</f>
        <v>PSU Bank|1</v>
      </c>
    </row>
    <row r="104" customFormat="false" ht="15" hidden="false" customHeight="false" outlineLevel="0" collapsed="false">
      <c r="A104" s="11" t="s">
        <v>58</v>
      </c>
      <c r="B104" s="11" t="s">
        <v>163</v>
      </c>
      <c r="C104" s="12" t="n">
        <v>0</v>
      </c>
      <c r="D104" s="12" t="n">
        <v>0</v>
      </c>
      <c r="E104" s="12" t="n">
        <v>0</v>
      </c>
      <c r="F104" s="12" t="n">
        <v>0</v>
      </c>
      <c r="G104" s="13" t="str">
        <f aca="false">IFERROR(IF('Sector Summary'!$B$1="Daily",F104/C104-1,IF('Sector Summary'!$B$1="Weekly",F104/D104-1,F104/E104-1)),"")</f>
        <v/>
      </c>
      <c r="H104" s="14" t="n">
        <f aca="false">IFERROR(SUMPRODUCT(($A$94:$A$104=A104)*($G$94:$G$104&gt;G104))+1,"")</f>
        <v>1</v>
      </c>
      <c r="I104" s="14" t="str">
        <f aca="false">A104&amp;"|"&amp;H104</f>
        <v>PSU Bank|1</v>
      </c>
    </row>
    <row r="105" customFormat="false" ht="15" hidden="false" customHeight="false" outlineLevel="0" collapsed="false">
      <c r="A105" s="7" t="s">
        <v>60</v>
      </c>
      <c r="B105" s="7" t="s">
        <v>65</v>
      </c>
      <c r="C105" s="8" t="n">
        <v>0</v>
      </c>
      <c r="D105" s="8" t="n">
        <v>0</v>
      </c>
      <c r="E105" s="8" t="n">
        <v>0</v>
      </c>
      <c r="F105" s="8" t="n">
        <v>0</v>
      </c>
      <c r="G105" s="9" t="str">
        <f aca="false">IFERROR(IF('Sector Summary'!$B$1="Daily",F105/C105-1,IF('Sector Summary'!$B$1="Weekly",F105/D105-1,F105/E105-1)),"")</f>
        <v/>
      </c>
      <c r="H105" s="10" t="n">
        <f aca="false">IFERROR(SUMPRODUCT(($A$105:$A$120=A105)*($G$105:$G$120&gt;G105))+1,"")</f>
        <v>1</v>
      </c>
      <c r="I105" s="10" t="str">
        <f aca="false">A105&amp;"|"&amp;H105</f>
        <v>Fin Service|1</v>
      </c>
    </row>
    <row r="106" customFormat="false" ht="15" hidden="false" customHeight="false" outlineLevel="0" collapsed="false">
      <c r="A106" s="7" t="s">
        <v>60</v>
      </c>
      <c r="B106" s="7" t="s">
        <v>66</v>
      </c>
      <c r="C106" s="8" t="n">
        <v>0</v>
      </c>
      <c r="D106" s="8" t="n">
        <v>0</v>
      </c>
      <c r="E106" s="8" t="n">
        <v>0</v>
      </c>
      <c r="F106" s="8" t="n">
        <v>0</v>
      </c>
      <c r="G106" s="9" t="str">
        <f aca="false">IFERROR(IF('Sector Summary'!$B$1="Daily",F106/C106-1,IF('Sector Summary'!$B$1="Weekly",F106/D106-1,F106/E106-1)),"")</f>
        <v/>
      </c>
      <c r="H106" s="10" t="n">
        <f aca="false">IFERROR(SUMPRODUCT(($A$105:$A$120=A106)*($G$105:$G$120&gt;G106))+1,"")</f>
        <v>1</v>
      </c>
      <c r="I106" s="10" t="str">
        <f aca="false">A106&amp;"|"&amp;H106</f>
        <v>Fin Service|1</v>
      </c>
    </row>
    <row r="107" customFormat="false" ht="15" hidden="false" customHeight="false" outlineLevel="0" collapsed="false">
      <c r="A107" s="7" t="s">
        <v>60</v>
      </c>
      <c r="B107" s="7" t="s">
        <v>67</v>
      </c>
      <c r="C107" s="8" t="n">
        <v>0</v>
      </c>
      <c r="D107" s="8" t="n">
        <v>0</v>
      </c>
      <c r="E107" s="8" t="n">
        <v>0</v>
      </c>
      <c r="F107" s="8" t="n">
        <v>0</v>
      </c>
      <c r="G107" s="9" t="str">
        <f aca="false">IFERROR(IF('Sector Summary'!$B$1="Daily",F107/C107-1,IF('Sector Summary'!$B$1="Weekly",F107/D107-1,F107/E107-1)),"")</f>
        <v/>
      </c>
      <c r="H107" s="10" t="n">
        <f aca="false">IFERROR(SUMPRODUCT(($A$105:$A$120=A107)*($G$105:$G$120&gt;G107))+1,"")</f>
        <v>1</v>
      </c>
      <c r="I107" s="10" t="str">
        <f aca="false">A107&amp;"|"&amp;H107</f>
        <v>Fin Service|1</v>
      </c>
    </row>
    <row r="108" customFormat="false" ht="15" hidden="false" customHeight="false" outlineLevel="0" collapsed="false">
      <c r="A108" s="7" t="s">
        <v>60</v>
      </c>
      <c r="B108" s="7" t="s">
        <v>164</v>
      </c>
      <c r="C108" s="8" t="n">
        <v>0</v>
      </c>
      <c r="D108" s="8" t="n">
        <v>0</v>
      </c>
      <c r="E108" s="8" t="n">
        <v>0</v>
      </c>
      <c r="F108" s="8" t="n">
        <v>0</v>
      </c>
      <c r="G108" s="9" t="str">
        <f aca="false">IFERROR(IF('Sector Summary'!$B$1="Daily",F108/C108-1,IF('Sector Summary'!$B$1="Weekly",F108/D108-1,F108/E108-1)),"")</f>
        <v/>
      </c>
      <c r="H108" s="10" t="n">
        <f aca="false">IFERROR(SUMPRODUCT(($A$105:$A$120=A108)*($G$105:$G$120&gt;G108))+1,"")</f>
        <v>1</v>
      </c>
      <c r="I108" s="10" t="str">
        <f aca="false">A108&amp;"|"&amp;H108</f>
        <v>Fin Service|1</v>
      </c>
    </row>
    <row r="109" customFormat="false" ht="15" hidden="false" customHeight="false" outlineLevel="0" collapsed="false">
      <c r="A109" s="7" t="s">
        <v>60</v>
      </c>
      <c r="B109" s="7" t="s">
        <v>68</v>
      </c>
      <c r="C109" s="8" t="n">
        <v>0</v>
      </c>
      <c r="D109" s="8" t="n">
        <v>0</v>
      </c>
      <c r="E109" s="8" t="n">
        <v>0</v>
      </c>
      <c r="F109" s="8" t="n">
        <v>0</v>
      </c>
      <c r="G109" s="9" t="str">
        <f aca="false">IFERROR(IF('Sector Summary'!$B$1="Daily",F109/C109-1,IF('Sector Summary'!$B$1="Weekly",F109/D109-1,F109/E109-1)),"")</f>
        <v/>
      </c>
      <c r="H109" s="10" t="n">
        <f aca="false">IFERROR(SUMPRODUCT(($A$105:$A$120=A109)*($G$105:$G$120&gt;G109))+1,"")</f>
        <v>1</v>
      </c>
      <c r="I109" s="10" t="str">
        <f aca="false">A109&amp;"|"&amp;H109</f>
        <v>Fin Service|1</v>
      </c>
    </row>
    <row r="110" customFormat="false" ht="15" hidden="false" customHeight="false" outlineLevel="0" collapsed="false">
      <c r="A110" s="7" t="s">
        <v>60</v>
      </c>
      <c r="B110" s="7" t="s">
        <v>69</v>
      </c>
      <c r="C110" s="8" t="n">
        <v>0</v>
      </c>
      <c r="D110" s="8" t="n">
        <v>0</v>
      </c>
      <c r="E110" s="8" t="n">
        <v>0</v>
      </c>
      <c r="F110" s="8" t="n">
        <v>0</v>
      </c>
      <c r="G110" s="9" t="str">
        <f aca="false">IFERROR(IF('Sector Summary'!$B$1="Daily",F110/C110-1,IF('Sector Summary'!$B$1="Weekly",F110/D110-1,F110/E110-1)),"")</f>
        <v/>
      </c>
      <c r="H110" s="10" t="n">
        <f aca="false">IFERROR(SUMPRODUCT(($A$105:$A$120=A110)*($G$105:$G$120&gt;G110))+1,"")</f>
        <v>1</v>
      </c>
      <c r="I110" s="10" t="str">
        <f aca="false">A110&amp;"|"&amp;H110</f>
        <v>Fin Service|1</v>
      </c>
    </row>
    <row r="111" customFormat="false" ht="15" hidden="false" customHeight="false" outlineLevel="0" collapsed="false">
      <c r="A111" s="7" t="s">
        <v>60</v>
      </c>
      <c r="B111" s="7" t="s">
        <v>165</v>
      </c>
      <c r="C111" s="8" t="n">
        <v>0</v>
      </c>
      <c r="D111" s="8" t="n">
        <v>0</v>
      </c>
      <c r="E111" s="8" t="n">
        <v>0</v>
      </c>
      <c r="F111" s="8" t="n">
        <v>0</v>
      </c>
      <c r="G111" s="9" t="str">
        <f aca="false">IFERROR(IF('Sector Summary'!$B$1="Daily",F111/C111-1,IF('Sector Summary'!$B$1="Weekly",F111/D111-1,F111/E111-1)),"")</f>
        <v/>
      </c>
      <c r="H111" s="10" t="n">
        <f aca="false">IFERROR(SUMPRODUCT(($A$105:$A$120=A111)*($G$105:$G$120&gt;G111))+1,"")</f>
        <v>1</v>
      </c>
      <c r="I111" s="10" t="str">
        <f aca="false">A111&amp;"|"&amp;H111</f>
        <v>Fin Service|1</v>
      </c>
    </row>
    <row r="112" customFormat="false" ht="15" hidden="false" customHeight="false" outlineLevel="0" collapsed="false">
      <c r="A112" s="7" t="s">
        <v>60</v>
      </c>
      <c r="B112" s="7" t="s">
        <v>166</v>
      </c>
      <c r="C112" s="8" t="n">
        <v>0</v>
      </c>
      <c r="D112" s="8" t="n">
        <v>0</v>
      </c>
      <c r="E112" s="8" t="n">
        <v>0</v>
      </c>
      <c r="F112" s="8" t="n">
        <v>0</v>
      </c>
      <c r="G112" s="9" t="str">
        <f aca="false">IFERROR(IF('Sector Summary'!$B$1="Daily",F112/C112-1,IF('Sector Summary'!$B$1="Weekly",F112/D112-1,F112/E112-1)),"")</f>
        <v/>
      </c>
      <c r="H112" s="10" t="n">
        <f aca="false">IFERROR(SUMPRODUCT(($A$105:$A$120=A112)*($G$105:$G$120&gt;G112))+1,"")</f>
        <v>1</v>
      </c>
      <c r="I112" s="10" t="str">
        <f aca="false">A112&amp;"|"&amp;H112</f>
        <v>Fin Service|1</v>
      </c>
    </row>
    <row r="113" customFormat="false" ht="15" hidden="false" customHeight="false" outlineLevel="0" collapsed="false">
      <c r="A113" s="7" t="s">
        <v>60</v>
      </c>
      <c r="B113" s="7" t="s">
        <v>167</v>
      </c>
      <c r="C113" s="8" t="n">
        <v>0</v>
      </c>
      <c r="D113" s="8" t="n">
        <v>0</v>
      </c>
      <c r="E113" s="8" t="n">
        <v>0</v>
      </c>
      <c r="F113" s="8" t="n">
        <v>0</v>
      </c>
      <c r="G113" s="9" t="str">
        <f aca="false">IFERROR(IF('Sector Summary'!$B$1="Daily",F113/C113-1,IF('Sector Summary'!$B$1="Weekly",F113/D113-1,F113/E113-1)),"")</f>
        <v/>
      </c>
      <c r="H113" s="10" t="n">
        <f aca="false">IFERROR(SUMPRODUCT(($A$105:$A$120=A113)*($G$105:$G$120&gt;G113))+1,"")</f>
        <v>1</v>
      </c>
      <c r="I113" s="10" t="str">
        <f aca="false">A113&amp;"|"&amp;H113</f>
        <v>Fin Service|1</v>
      </c>
    </row>
    <row r="114" customFormat="false" ht="15" hidden="false" customHeight="false" outlineLevel="0" collapsed="false">
      <c r="A114" s="7" t="s">
        <v>60</v>
      </c>
      <c r="B114" s="7" t="s">
        <v>168</v>
      </c>
      <c r="C114" s="8" t="n">
        <v>0</v>
      </c>
      <c r="D114" s="8" t="n">
        <v>0</v>
      </c>
      <c r="E114" s="8" t="n">
        <v>0</v>
      </c>
      <c r="F114" s="8" t="n">
        <v>0</v>
      </c>
      <c r="G114" s="9" t="str">
        <f aca="false">IFERROR(IF('Sector Summary'!$B$1="Daily",F114/C114-1,IF('Sector Summary'!$B$1="Weekly",F114/D114-1,F114/E114-1)),"")</f>
        <v/>
      </c>
      <c r="H114" s="10" t="n">
        <f aca="false">IFERROR(SUMPRODUCT(($A$105:$A$120=A114)*($G$105:$G$120&gt;G114))+1,"")</f>
        <v>1</v>
      </c>
      <c r="I114" s="10" t="str">
        <f aca="false">A114&amp;"|"&amp;H114</f>
        <v>Fin Service|1</v>
      </c>
    </row>
    <row r="115" customFormat="false" ht="15" hidden="false" customHeight="false" outlineLevel="0" collapsed="false">
      <c r="A115" s="7" t="s">
        <v>60</v>
      </c>
      <c r="B115" s="7" t="s">
        <v>169</v>
      </c>
      <c r="C115" s="8" t="n">
        <v>0</v>
      </c>
      <c r="D115" s="8" t="n">
        <v>0</v>
      </c>
      <c r="E115" s="8" t="n">
        <v>0</v>
      </c>
      <c r="F115" s="8" t="n">
        <v>0</v>
      </c>
      <c r="G115" s="9" t="str">
        <f aca="false">IFERROR(IF('Sector Summary'!$B$1="Daily",F115/C115-1,IF('Sector Summary'!$B$1="Weekly",F115/D115-1,F115/E115-1)),"")</f>
        <v/>
      </c>
      <c r="H115" s="10" t="n">
        <f aca="false">IFERROR(SUMPRODUCT(($A$105:$A$120=A115)*($G$105:$G$120&gt;G115))+1,"")</f>
        <v>1</v>
      </c>
      <c r="I115" s="10" t="str">
        <f aca="false">A115&amp;"|"&amp;H115</f>
        <v>Fin Service|1</v>
      </c>
    </row>
    <row r="116" customFormat="false" ht="15" hidden="false" customHeight="false" outlineLevel="0" collapsed="false">
      <c r="A116" s="7" t="s">
        <v>60</v>
      </c>
      <c r="B116" s="7" t="s">
        <v>170</v>
      </c>
      <c r="C116" s="8" t="n">
        <v>0</v>
      </c>
      <c r="D116" s="8" t="n">
        <v>0</v>
      </c>
      <c r="E116" s="8" t="n">
        <v>0</v>
      </c>
      <c r="F116" s="8" t="n">
        <v>0</v>
      </c>
      <c r="G116" s="9" t="str">
        <f aca="false">IFERROR(IF('Sector Summary'!$B$1="Daily",F116/C116-1,IF('Sector Summary'!$B$1="Weekly",F116/D116-1,F116/E116-1)),"")</f>
        <v/>
      </c>
      <c r="H116" s="10" t="n">
        <f aca="false">IFERROR(SUMPRODUCT(($A$105:$A$120=A116)*($G$105:$G$120&gt;G116))+1,"")</f>
        <v>1</v>
      </c>
      <c r="I116" s="10" t="str">
        <f aca="false">A116&amp;"|"&amp;H116</f>
        <v>Fin Service|1</v>
      </c>
    </row>
    <row r="117" customFormat="false" ht="15" hidden="false" customHeight="false" outlineLevel="0" collapsed="false">
      <c r="A117" s="7" t="s">
        <v>60</v>
      </c>
      <c r="B117" s="7" t="s">
        <v>171</v>
      </c>
      <c r="C117" s="8" t="n">
        <v>0</v>
      </c>
      <c r="D117" s="8" t="n">
        <v>0</v>
      </c>
      <c r="E117" s="8" t="n">
        <v>0</v>
      </c>
      <c r="F117" s="8" t="n">
        <v>0</v>
      </c>
      <c r="G117" s="9" t="str">
        <f aca="false">IFERROR(IF('Sector Summary'!$B$1="Daily",F117/C117-1,IF('Sector Summary'!$B$1="Weekly",F117/D117-1,F117/E117-1)),"")</f>
        <v/>
      </c>
      <c r="H117" s="10" t="n">
        <f aca="false">IFERROR(SUMPRODUCT(($A$105:$A$120=A117)*($G$105:$G$120&gt;G117))+1,"")</f>
        <v>1</v>
      </c>
      <c r="I117" s="10" t="str">
        <f aca="false">A117&amp;"|"&amp;H117</f>
        <v>Fin Service|1</v>
      </c>
    </row>
    <row r="118" customFormat="false" ht="15" hidden="false" customHeight="false" outlineLevel="0" collapsed="false">
      <c r="A118" s="7" t="s">
        <v>60</v>
      </c>
      <c r="B118" s="7" t="s">
        <v>172</v>
      </c>
      <c r="C118" s="8" t="n">
        <v>0</v>
      </c>
      <c r="D118" s="8" t="n">
        <v>0</v>
      </c>
      <c r="E118" s="8" t="n">
        <v>0</v>
      </c>
      <c r="F118" s="8" t="n">
        <v>0</v>
      </c>
      <c r="G118" s="9" t="str">
        <f aca="false">IFERROR(IF('Sector Summary'!$B$1="Daily",F118/C118-1,IF('Sector Summary'!$B$1="Weekly",F118/D118-1,F118/E118-1)),"")</f>
        <v/>
      </c>
      <c r="H118" s="10" t="n">
        <f aca="false">IFERROR(SUMPRODUCT(($A$105:$A$120=A118)*($G$105:$G$120&gt;G118))+1,"")</f>
        <v>1</v>
      </c>
      <c r="I118" s="10" t="str">
        <f aca="false">A118&amp;"|"&amp;H118</f>
        <v>Fin Service|1</v>
      </c>
    </row>
    <row r="119" customFormat="false" ht="15" hidden="false" customHeight="false" outlineLevel="0" collapsed="false">
      <c r="A119" s="7" t="s">
        <v>60</v>
      </c>
      <c r="B119" s="7" t="s">
        <v>173</v>
      </c>
      <c r="C119" s="8" t="n">
        <v>0</v>
      </c>
      <c r="D119" s="8" t="n">
        <v>0</v>
      </c>
      <c r="E119" s="8" t="n">
        <v>0</v>
      </c>
      <c r="F119" s="8" t="n">
        <v>0</v>
      </c>
      <c r="G119" s="9" t="str">
        <f aca="false">IFERROR(IF('Sector Summary'!$B$1="Daily",F119/C119-1,IF('Sector Summary'!$B$1="Weekly",F119/D119-1,F119/E119-1)),"")</f>
        <v/>
      </c>
      <c r="H119" s="10" t="n">
        <f aca="false">IFERROR(SUMPRODUCT(($A$105:$A$120=A119)*($G$105:$G$120&gt;G119))+1,"")</f>
        <v>1</v>
      </c>
      <c r="I119" s="10" t="str">
        <f aca="false">A119&amp;"|"&amp;H119</f>
        <v>Fin Service|1</v>
      </c>
    </row>
    <row r="120" customFormat="false" ht="15" hidden="false" customHeight="false" outlineLevel="0" collapsed="false">
      <c r="A120" s="7" t="s">
        <v>60</v>
      </c>
      <c r="B120" s="7" t="s">
        <v>174</v>
      </c>
      <c r="C120" s="8" t="n">
        <v>0</v>
      </c>
      <c r="D120" s="8" t="n">
        <v>0</v>
      </c>
      <c r="E120" s="8" t="n">
        <v>0</v>
      </c>
      <c r="F120" s="8" t="n">
        <v>0</v>
      </c>
      <c r="G120" s="9" t="str">
        <f aca="false">IFERROR(IF('Sector Summary'!$B$1="Daily",F120/C120-1,IF('Sector Summary'!$B$1="Weekly",F120/D120-1,F120/E120-1)),"")</f>
        <v/>
      </c>
      <c r="H120" s="10" t="n">
        <f aca="false">IFERROR(SUMPRODUCT(($A$105:$A$120=A120)*($G$105:$G$120&gt;G120))+1,"")</f>
        <v>1</v>
      </c>
      <c r="I120" s="10" t="str">
        <f aca="false">A120&amp;"|"&amp;H120</f>
        <v>Fin Service|1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4" t="s">
        <v>175</v>
      </c>
      <c r="B1" s="5" t="s">
        <v>40</v>
      </c>
      <c r="C1" s="2" t="s">
        <v>176</v>
      </c>
      <c r="H1" s="2" t="s">
        <v>177</v>
      </c>
    </row>
    <row r="2" customFormat="false" ht="15" hidden="false" customHeight="false" outlineLevel="0" collapsed="false">
      <c r="A2" s="4" t="s">
        <v>28</v>
      </c>
      <c r="B2" s="15" t="str">
        <f aca="false">'Sector Summary'!$B$1</f>
        <v>Daily</v>
      </c>
      <c r="C2" s="2" t="s">
        <v>178</v>
      </c>
      <c r="H2" s="15" t="n">
        <f aca="false">COUNTIF(Constituents!$A:$A,$B$1)</f>
        <v>12</v>
      </c>
    </row>
    <row r="4" customFormat="false" ht="15" hidden="false" customHeight="false" outlineLevel="0" collapsed="false">
      <c r="A4" s="4" t="s">
        <v>179</v>
      </c>
      <c r="B4" s="16" t="str">
        <f aca="false">IFERROR(INDEX(B9:B24,MATCH(1,A9:A24,0))&amp;"  ("&amp;TEXT(INDEX(D9:D24,1),"0.00%")&amp;")","")</f>
        <v>PNB  (1.37%)</v>
      </c>
    </row>
    <row r="5" customFormat="false" ht="15" hidden="false" customHeight="false" outlineLevel="0" collapsed="false">
      <c r="A5" s="4" t="s">
        <v>180</v>
      </c>
      <c r="B5" s="17" t="str">
        <f aca="false">IFERROR(INDEX(B9:B24,MATCH($H$2,A9:A24,0))&amp;"  ("&amp;TEXT(INDEX(D9:D24,MATCH($H$2,A9:A24,0)),"0.00%")&amp;")","")</f>
        <v>INDUSINDBK  (-1.41%)</v>
      </c>
    </row>
    <row r="8" customFormat="false" ht="15" hidden="false" customHeight="false" outlineLevel="0" collapsed="false">
      <c r="A8" s="18" t="s">
        <v>38</v>
      </c>
      <c r="B8" s="18" t="s">
        <v>62</v>
      </c>
      <c r="C8" s="18" t="s">
        <v>36</v>
      </c>
      <c r="D8" s="18" t="s">
        <v>37</v>
      </c>
    </row>
    <row r="9" customFormat="false" ht="15" hidden="false" customHeight="false" outlineLevel="0" collapsed="false">
      <c r="A9" s="7" t="n">
        <v>1</v>
      </c>
      <c r="B9" s="19" t="str">
        <f aca="false">IFERROR(INDEX(Constituents!$B:$B,MATCH($B$1&amp;"|"&amp;A9,Constituents!$I:$I,0)),"")</f>
        <v>PNB</v>
      </c>
      <c r="C9" s="20" t="n">
        <f aca="false">IFERROR(INDEX(Constituents!$F:$F,MATCH($B$1&amp;"|"&amp;A9,Constituents!$I:$I,0)),"")</f>
        <v>103.75</v>
      </c>
      <c r="D9" s="9" t="n">
        <f aca="false">IFERROR(INDEX(Constituents!$G:$G,MATCH($B$1&amp;"|"&amp;A9,Constituents!$I:$I,0)),"")</f>
        <v>0.0136785539814364</v>
      </c>
    </row>
    <row r="10" customFormat="false" ht="15" hidden="false" customHeight="false" outlineLevel="0" collapsed="false">
      <c r="A10" s="7" t="n">
        <v>2</v>
      </c>
      <c r="B10" s="19" t="str">
        <f aca="false">IFERROR(INDEX(Constituents!$B:$B,MATCH($B$1&amp;"|"&amp;A10,Constituents!$I:$I,0)),"")</f>
        <v>AUBANK</v>
      </c>
      <c r="C10" s="20" t="n">
        <f aca="false">IFERROR(INDEX(Constituents!$F:$F,MATCH($B$1&amp;"|"&amp;A10,Constituents!$I:$I,0)),"")</f>
        <v>651.2</v>
      </c>
      <c r="D10" s="9" t="n">
        <f aca="false">IFERROR(INDEX(Constituents!$G:$G,MATCH($B$1&amp;"|"&amp;A10,Constituents!$I:$I,0)),"")</f>
        <v>0.0135408560311285</v>
      </c>
    </row>
    <row r="11" customFormat="false" ht="15" hidden="false" customHeight="false" outlineLevel="0" collapsed="false">
      <c r="A11" s="7" t="n">
        <v>3</v>
      </c>
      <c r="B11" s="19" t="str">
        <f aca="false">IFERROR(INDEX(Constituents!$B:$B,MATCH($B$1&amp;"|"&amp;A11,Constituents!$I:$I,0)),"")</f>
        <v>FEDERALBNK</v>
      </c>
      <c r="C11" s="20" t="n">
        <f aca="false">IFERROR(INDEX(Constituents!$F:$F,MATCH($B$1&amp;"|"&amp;A11,Constituents!$I:$I,0)),"")</f>
        <v>199.3</v>
      </c>
      <c r="D11" s="9" t="n">
        <f aca="false">IFERROR(INDEX(Constituents!$G:$G,MATCH($B$1&amp;"|"&amp;A11,Constituents!$I:$I,0)),"")</f>
        <v>0.0132180986273513</v>
      </c>
    </row>
    <row r="12" customFormat="false" ht="15" hidden="false" customHeight="false" outlineLevel="0" collapsed="false">
      <c r="A12" s="7" t="n">
        <v>4</v>
      </c>
      <c r="B12" s="19" t="str">
        <f aca="false">IFERROR(INDEX(Constituents!$B:$B,MATCH($B$1&amp;"|"&amp;A12,Constituents!$I:$I,0)),"")</f>
        <v>CANBK</v>
      </c>
      <c r="C12" s="20" t="n">
        <f aca="false">IFERROR(INDEX(Constituents!$F:$F,MATCH($B$1&amp;"|"&amp;A12,Constituents!$I:$I,0)),"")</f>
        <v>99.9</v>
      </c>
      <c r="D12" s="9" t="n">
        <f aca="false">IFERROR(INDEX(Constituents!$G:$G,MATCH($B$1&amp;"|"&amp;A12,Constituents!$I:$I,0)),"")</f>
        <v>0.013184584178499</v>
      </c>
    </row>
    <row r="13" customFormat="false" ht="15" hidden="false" customHeight="false" outlineLevel="0" collapsed="false">
      <c r="A13" s="7" t="n">
        <v>5</v>
      </c>
      <c r="B13" s="19" t="str">
        <f aca="false">IFERROR(INDEX(Constituents!$B:$B,MATCH($B$1&amp;"|"&amp;A13,Constituents!$I:$I,0)),"")</f>
        <v>BANKBARODA</v>
      </c>
      <c r="C13" s="20" t="n">
        <f aca="false">IFERROR(INDEX(Constituents!$F:$F,MATCH($B$1&amp;"|"&amp;A13,Constituents!$I:$I,0)),"")</f>
        <v>240.9</v>
      </c>
      <c r="D13" s="9" t="n">
        <f aca="false">IFERROR(INDEX(Constituents!$G:$G,MATCH($B$1&amp;"|"&amp;A13,Constituents!$I:$I,0)),"")</f>
        <v>0.0115473441108545</v>
      </c>
    </row>
    <row r="14" customFormat="false" ht="15" hidden="false" customHeight="false" outlineLevel="0" collapsed="false">
      <c r="A14" s="7" t="n">
        <v>6</v>
      </c>
      <c r="B14" s="19" t="str">
        <f aca="false">IFERROR(INDEX(Constituents!$B:$B,MATCH($B$1&amp;"|"&amp;A14,Constituents!$I:$I,0)),"")</f>
        <v>SBIN</v>
      </c>
      <c r="C14" s="20" t="n">
        <f aca="false">IFERROR(INDEX(Constituents!$F:$F,MATCH($B$1&amp;"|"&amp;A14,Constituents!$I:$I,0)),"")</f>
        <v>826.9</v>
      </c>
      <c r="D14" s="9" t="n">
        <f aca="false">IFERROR(INDEX(Constituents!$G:$G,MATCH($B$1&amp;"|"&amp;A14,Constituents!$I:$I,0)),"")</f>
        <v>0.0104478523858984</v>
      </c>
    </row>
    <row r="15" customFormat="false" ht="15" hidden="false" customHeight="false" outlineLevel="0" collapsed="false">
      <c r="A15" s="7" t="n">
        <v>7</v>
      </c>
      <c r="B15" s="19" t="str">
        <f aca="false">IFERROR(INDEX(Constituents!$B:$B,MATCH($B$1&amp;"|"&amp;A15,Constituents!$I:$I,0)),"")</f>
        <v>ICICIBANK</v>
      </c>
      <c r="C15" s="20" t="n">
        <f aca="false">IFERROR(INDEX(Constituents!$F:$F,MATCH($B$1&amp;"|"&amp;A15,Constituents!$I:$I,0)),"")</f>
        <v>1223.6</v>
      </c>
      <c r="D15" s="9" t="n">
        <f aca="false">IFERROR(INDEX(Constituents!$G:$G,MATCH($B$1&amp;"|"&amp;A15,Constituents!$I:$I,0)),"")</f>
        <v>0.0100709922403828</v>
      </c>
    </row>
    <row r="16" customFormat="false" ht="15" hidden="false" customHeight="false" outlineLevel="0" collapsed="false">
      <c r="A16" s="7" t="n">
        <v>8</v>
      </c>
      <c r="B16" s="19" t="str">
        <f aca="false">IFERROR(INDEX(Constituents!$B:$B,MATCH($B$1&amp;"|"&amp;A16,Constituents!$I:$I,0)),"")</f>
        <v>IDFCFIRSTB</v>
      </c>
      <c r="C16" s="20" t="n">
        <f aca="false">IFERROR(INDEX(Constituents!$F:$F,MATCH($B$1&amp;"|"&amp;A16,Constituents!$I:$I,0)),"")</f>
        <v>73.1</v>
      </c>
      <c r="D16" s="9" t="n">
        <f aca="false">IFERROR(INDEX(Constituents!$G:$G,MATCH($B$1&amp;"|"&amp;A16,Constituents!$I:$I,0)),"")</f>
        <v>0.00966850828729271</v>
      </c>
    </row>
    <row r="17" customFormat="false" ht="15" hidden="false" customHeight="false" outlineLevel="0" collapsed="false">
      <c r="A17" s="7" t="n">
        <v>9</v>
      </c>
      <c r="B17" s="19" t="str">
        <f aca="false">IFERROR(INDEX(Constituents!$B:$B,MATCH($B$1&amp;"|"&amp;A17,Constituents!$I:$I,0)),"")</f>
        <v>AXISBANK</v>
      </c>
      <c r="C17" s="20" t="n">
        <f aca="false">IFERROR(INDEX(Constituents!$F:$F,MATCH($B$1&amp;"|"&amp;A17,Constituents!$I:$I,0)),"")</f>
        <v>1163.55</v>
      </c>
      <c r="D17" s="9" t="n">
        <f aca="false">IFERROR(INDEX(Constituents!$G:$G,MATCH($B$1&amp;"|"&amp;A17,Constituents!$I:$I,0)),"")</f>
        <v>0.009325121443442</v>
      </c>
    </row>
    <row r="18" customFormat="false" ht="15" hidden="false" customHeight="false" outlineLevel="0" collapsed="false">
      <c r="A18" s="7" t="n">
        <v>10</v>
      </c>
      <c r="B18" s="19" t="str">
        <f aca="false">IFERROR(INDEX(Constituents!$B:$B,MATCH($B$1&amp;"|"&amp;A18,Constituents!$I:$I,0)),"")</f>
        <v>HDFCBANK</v>
      </c>
      <c r="C18" s="20" t="n">
        <f aca="false">IFERROR(INDEX(Constituents!$F:$F,MATCH($B$1&amp;"|"&amp;A18,Constituents!$I:$I,0)),"")</f>
        <v>1657.85</v>
      </c>
      <c r="D18" s="9" t="n">
        <f aca="false">IFERROR(INDEX(Constituents!$G:$G,MATCH($B$1&amp;"|"&amp;A18,Constituents!$I:$I,0)),"")</f>
        <v>0.00585487198155565</v>
      </c>
    </row>
    <row r="19" customFormat="false" ht="15" hidden="false" customHeight="false" outlineLevel="0" collapsed="false">
      <c r="A19" s="7" t="n">
        <v>11</v>
      </c>
      <c r="B19" s="19" t="str">
        <f aca="false">IFERROR(INDEX(Constituents!$B:$B,MATCH($B$1&amp;"|"&amp;A19,Constituents!$I:$I,0)),"")</f>
        <v>KOTAKBANK</v>
      </c>
      <c r="C19" s="20" t="n">
        <f aca="false">IFERROR(INDEX(Constituents!$F:$F,MATCH($B$1&amp;"|"&amp;A19,Constituents!$I:$I,0)),"")</f>
        <v>1771.25</v>
      </c>
      <c r="D19" s="9" t="n">
        <f aca="false">IFERROR(INDEX(Constituents!$G:$G,MATCH($B$1&amp;"|"&amp;A19,Constituents!$I:$I,0)),"")</f>
        <v>-0.0102536879749664</v>
      </c>
    </row>
    <row r="20" customFormat="false" ht="15" hidden="false" customHeight="false" outlineLevel="0" collapsed="false">
      <c r="A20" s="7" t="n">
        <v>12</v>
      </c>
      <c r="B20" s="19" t="str">
        <f aca="false">IFERROR(INDEX(Constituents!$B:$B,MATCH($B$1&amp;"|"&amp;A20,Constituents!$I:$I,0)),"")</f>
        <v>INDUSINDBK</v>
      </c>
      <c r="C20" s="20" t="n">
        <f aca="false">IFERROR(INDEX(Constituents!$F:$F,MATCH($B$1&amp;"|"&amp;A20,Constituents!$I:$I,0)),"")</f>
        <v>998.1</v>
      </c>
      <c r="D20" s="9" t="n">
        <f aca="false">IFERROR(INDEX(Constituents!$G:$G,MATCH($B$1&amp;"|"&amp;A20,Constituents!$I:$I,0)),"")</f>
        <v>-0.0141248518372185</v>
      </c>
    </row>
    <row r="21" customFormat="false" ht="15" hidden="false" customHeight="false" outlineLevel="0" collapsed="false">
      <c r="A21" s="7" t="n">
        <v>13</v>
      </c>
      <c r="B21" s="19" t="str">
        <f aca="false">IFERROR(INDEX(Constituents!$B:$B,MATCH($B$1&amp;"|"&amp;A21,Constituents!$I:$I,0)),"")</f>
        <v/>
      </c>
      <c r="C21" s="20" t="str">
        <f aca="false">IFERROR(INDEX(Constituents!$F:$F,MATCH($B$1&amp;"|"&amp;A21,Constituents!$I:$I,0)),"")</f>
        <v/>
      </c>
      <c r="D21" s="9" t="str">
        <f aca="false">IFERROR(INDEX(Constituents!$G:$G,MATCH($B$1&amp;"|"&amp;A21,Constituents!$I:$I,0)),"")</f>
        <v/>
      </c>
    </row>
    <row r="22" customFormat="false" ht="15" hidden="false" customHeight="false" outlineLevel="0" collapsed="false">
      <c r="A22" s="7" t="n">
        <v>14</v>
      </c>
      <c r="B22" s="19" t="str">
        <f aca="false">IFERROR(INDEX(Constituents!$B:$B,MATCH($B$1&amp;"|"&amp;A22,Constituents!$I:$I,0)),"")</f>
        <v/>
      </c>
      <c r="C22" s="20" t="str">
        <f aca="false">IFERROR(INDEX(Constituents!$F:$F,MATCH($B$1&amp;"|"&amp;A22,Constituents!$I:$I,0)),"")</f>
        <v/>
      </c>
      <c r="D22" s="9" t="str">
        <f aca="false">IFERROR(INDEX(Constituents!$G:$G,MATCH($B$1&amp;"|"&amp;A22,Constituents!$I:$I,0)),"")</f>
        <v/>
      </c>
    </row>
    <row r="23" customFormat="false" ht="15" hidden="false" customHeight="false" outlineLevel="0" collapsed="false">
      <c r="A23" s="7" t="n">
        <v>15</v>
      </c>
      <c r="B23" s="19" t="str">
        <f aca="false">IFERROR(INDEX(Constituents!$B:$B,MATCH($B$1&amp;"|"&amp;A23,Constituents!$I:$I,0)),"")</f>
        <v/>
      </c>
      <c r="C23" s="20" t="str">
        <f aca="false">IFERROR(INDEX(Constituents!$F:$F,MATCH($B$1&amp;"|"&amp;A23,Constituents!$I:$I,0)),"")</f>
        <v/>
      </c>
      <c r="D23" s="9" t="str">
        <f aca="false">IFERROR(INDEX(Constituents!$G:$G,MATCH($B$1&amp;"|"&amp;A23,Constituents!$I:$I,0)),"")</f>
        <v/>
      </c>
    </row>
    <row r="24" customFormat="false" ht="15" hidden="false" customHeight="false" outlineLevel="0" collapsed="false">
      <c r="A24" s="7" t="n">
        <v>16</v>
      </c>
      <c r="B24" s="19" t="str">
        <f aca="false">IFERROR(INDEX(Constituents!$B:$B,MATCH($B$1&amp;"|"&amp;A24,Constituents!$I:$I,0)),"")</f>
        <v/>
      </c>
      <c r="C24" s="20" t="str">
        <f aca="false">IFERROR(INDEX(Constituents!$F:$F,MATCH($B$1&amp;"|"&amp;A24,Constituents!$I:$I,0)),"")</f>
        <v/>
      </c>
      <c r="D24" s="9" t="str">
        <f aca="false">IFERROR(INDEX(Constituents!$G:$G,MATCH($B$1&amp;"|"&amp;A24,Constituents!$I:$I,0)),"")</f>
        <v/>
      </c>
    </row>
  </sheetData>
  <conditionalFormatting sqref="A9:D24">
    <cfRule type="expression" priority="2" aboveAverage="0" equalAverage="0" bottom="0" percent="0" rank="0" text="" dxfId="0">
      <formula>$A9&lt;=3</formula>
    </cfRule>
    <cfRule type="expression" priority="3" aboveAverage="0" equalAverage="0" bottom="0" percent="0" rank="0" text="" dxfId="1">
      <formula>AND($A9&gt;$H$2-3,$A9&lt;=$H$2)</formula>
    </cfRule>
    <cfRule type="expression" priority="4" aboveAverage="0" equalAverage="0" bottom="0" percent="0" rank="0" text="" dxfId="2">
      <formula>$A9&gt;$H$2</formula>
    </cfRule>
  </conditionalFormatting>
  <dataValidations count="1">
    <dataValidation allowBlank="false" errorStyle="stop" operator="between" showDropDown="false" showErrorMessage="false" showInputMessage="false" sqref="B1" type="list">
      <formula1>'Sector Summary'!$A$4:$A$14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2026-07-21T19:31:52Z</dcterms:created>
  <dc:creator>openpyxl</dc:creator>
  <dc:description/>
  <dc:language>en-US</dc:language>
  <cp:lastModifiedBy/>
  <dcterms:modified xsi:type="dcterms:W3CDTF">2026-07-21T19:31:52Z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